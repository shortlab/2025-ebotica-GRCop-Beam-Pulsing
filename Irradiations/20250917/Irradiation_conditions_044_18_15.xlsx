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tprod-my.sharepoint.com/personal/ebotica_mit_edu/Documents/Desktop/MIT/Short Lab/Irradiations/20250917/"/>
    </mc:Choice>
  </mc:AlternateContent>
  <xr:revisionPtr revIDLastSave="320" documentId="8_{06F41C76-E09E-114A-A076-5F2EFCD9430F}" xr6:coauthVersionLast="47" xr6:coauthVersionMax="47" xr10:uidLastSave="{8516A0E3-18EF-4A40-8214-38A98BB88DB2}"/>
  <bookViews>
    <workbookView xWindow="0" yWindow="640" windowWidth="25600" windowHeight="16000" xr2:uid="{9064DB69-3C4E-A34B-AB08-1D28CF5E1DBC}"/>
  </bookViews>
  <sheets>
    <sheet name="Beam_044_18_RT_lecroy" sheetId="1" r:id="rId1"/>
    <sheet name="Beam_044_15_RT_lecroy" sheetId="2" r:id="rId2"/>
    <sheet name="Beam_044_18_RT_lecroy_timecor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3" l="1"/>
  <c r="I6" i="3"/>
  <c r="I5" i="3"/>
  <c r="H13" i="3" s="1"/>
  <c r="C33" i="2"/>
  <c r="C29" i="2"/>
  <c r="C25" i="2"/>
  <c r="C21" i="2"/>
  <c r="C17" i="2"/>
  <c r="C13" i="2"/>
  <c r="C9" i="2"/>
  <c r="C5" i="2"/>
  <c r="I6" i="2"/>
  <c r="H12" i="2" s="1"/>
  <c r="I7" i="2"/>
  <c r="I5" i="2"/>
  <c r="I5" i="1"/>
  <c r="I7" i="1"/>
  <c r="I6" i="1"/>
  <c r="H17" i="3" l="1"/>
  <c r="J17" i="3" s="1"/>
  <c r="J13" i="3"/>
  <c r="I13" i="3"/>
  <c r="I17" i="3"/>
  <c r="H16" i="3"/>
  <c r="H11" i="3"/>
  <c r="H15" i="3"/>
  <c r="H12" i="3"/>
  <c r="H14" i="3"/>
  <c r="H11" i="2"/>
  <c r="I11" i="2" s="1"/>
  <c r="H17" i="2"/>
  <c r="H16" i="2"/>
  <c r="H15" i="2"/>
  <c r="H14" i="2"/>
  <c r="H13" i="2"/>
  <c r="I14" i="2"/>
  <c r="J14" i="2"/>
  <c r="H13" i="1"/>
  <c r="H17" i="1"/>
  <c r="I17" i="1" s="1"/>
  <c r="H15" i="1"/>
  <c r="J15" i="1" s="1"/>
  <c r="H12" i="1"/>
  <c r="J12" i="1" s="1"/>
  <c r="J13" i="1"/>
  <c r="I13" i="1"/>
  <c r="J17" i="1"/>
  <c r="H16" i="1"/>
  <c r="H14" i="1"/>
  <c r="H11" i="1"/>
  <c r="I12" i="3" l="1"/>
  <c r="J12" i="3"/>
  <c r="I16" i="3"/>
  <c r="J16" i="3"/>
  <c r="J15" i="3"/>
  <c r="K15" i="3" s="1"/>
  <c r="I15" i="3"/>
  <c r="L15" i="3" s="1"/>
  <c r="J11" i="3"/>
  <c r="I11" i="3"/>
  <c r="L13" i="3"/>
  <c r="J14" i="3"/>
  <c r="K14" i="3" s="1"/>
  <c r="I14" i="3"/>
  <c r="L14" i="3" s="1"/>
  <c r="K13" i="3"/>
  <c r="J17" i="2"/>
  <c r="I17" i="2"/>
  <c r="I12" i="2"/>
  <c r="J12" i="2"/>
  <c r="J15" i="2"/>
  <c r="K15" i="2" s="1"/>
  <c r="I15" i="2"/>
  <c r="L15" i="2" s="1"/>
  <c r="J16" i="2"/>
  <c r="K16" i="2" s="1"/>
  <c r="I16" i="2"/>
  <c r="J11" i="2"/>
  <c r="J13" i="2"/>
  <c r="I13" i="2"/>
  <c r="L13" i="2" s="1"/>
  <c r="L14" i="2"/>
  <c r="K13" i="1"/>
  <c r="I12" i="1"/>
  <c r="I15" i="1"/>
  <c r="I16" i="1"/>
  <c r="J16" i="1"/>
  <c r="K16" i="1" s="1"/>
  <c r="K17" i="1"/>
  <c r="I11" i="1"/>
  <c r="J11" i="1"/>
  <c r="J14" i="1"/>
  <c r="I14" i="1"/>
  <c r="L14" i="1" s="1"/>
  <c r="L13" i="1"/>
  <c r="K16" i="3" l="1"/>
  <c r="K17" i="3"/>
  <c r="L16" i="3"/>
  <c r="L17" i="3"/>
  <c r="L12" i="3"/>
  <c r="L12" i="1"/>
  <c r="L17" i="2"/>
  <c r="L12" i="2"/>
  <c r="K13" i="2"/>
  <c r="K17" i="2"/>
  <c r="L16" i="2"/>
  <c r="K14" i="2"/>
  <c r="K14" i="1"/>
  <c r="K15" i="1"/>
  <c r="L15" i="1"/>
  <c r="L16" i="1"/>
  <c r="L17" i="1"/>
</calcChain>
</file>

<file path=xl/sharedStrings.xml><?xml version="1.0" encoding="utf-8"?>
<sst xmlns="http://schemas.openxmlformats.org/spreadsheetml/2006/main" count="29" uniqueCount="11">
  <si>
    <t>Time</t>
  </si>
  <si>
    <t>Current</t>
  </si>
  <si>
    <t>1st tgs measurement</t>
  </si>
  <si>
    <t>dpa/hr</t>
  </si>
  <si>
    <t>58nA</t>
  </si>
  <si>
    <t>s</t>
  </si>
  <si>
    <t>min</t>
  </si>
  <si>
    <t>points extra</t>
  </si>
  <si>
    <t>time extra</t>
  </si>
  <si>
    <t>60nA</t>
  </si>
  <si>
    <t>56nA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</si>
</sst>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>
    <font>
      <sz val="12"/>
      <color theme="1"/>
      <name val="Aptos Narrow"/>
      <family val="2"/>
      <scheme val="minor"/>
    </font>
    <font>
      <sz val="11"/>
      <color rgb="FF000000"/>
      <name val="Liberation Sans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20" fontId="0" fillId="0" borderId="0" xfId="0" applyNumberFormat="1"/>
    <xf numFmtId="21" fontId="0" fillId="0" borderId="0" xfId="0" applyNumberFormat="1"/>
    <xf numFmtId="1" fontId="0" fillId="0" borderId="0" xfId="0" applyNumberFormat="1"/>
    <xf numFmtId="164" fontId="0" fillId="0" borderId="0" xfId="0" applyNumberFormat="1"/>
    <xf numFmtId="0" fontId="0" fillId="2" borderId="0" xfId="0" applyFill="1"/>
  </cellXfs>
  <cellStyles count="2">
    <cellStyle name="Normal" xfId="0" builtinId="0"/>
    <cellStyle name="Normal 2" xfId="1" xr:uid="{C3B3A52C-A282-D54F-B557-7543A32C3D4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234A6-D2C3-8449-9085-C17F67AD4FFA}">
  <dimension ref="A1:L39"/>
  <sheetViews>
    <sheetView tabSelected="1" zoomScale="125" workbookViewId="0">
      <selection activeCell="G20" sqref="G20"/>
    </sheetView>
  </sheetViews>
  <sheetFormatPr baseColWidth="10" defaultRowHeight="16"/>
  <sheetData>
    <row r="1" spans="1:12">
      <c r="A1" t="s">
        <v>0</v>
      </c>
      <c r="B1" t="s">
        <v>1</v>
      </c>
    </row>
    <row r="2" spans="1:12">
      <c r="A2" s="1">
        <v>0.58072916666666663</v>
      </c>
      <c r="B2">
        <v>0</v>
      </c>
      <c r="C2" t="s">
        <v>2</v>
      </c>
      <c r="D2" s="1"/>
    </row>
    <row r="3" spans="1:12">
      <c r="A3" s="2">
        <v>0.58484953703703701</v>
      </c>
      <c r="B3">
        <v>0</v>
      </c>
      <c r="D3" s="2"/>
    </row>
    <row r="4" spans="1:12">
      <c r="A4" s="2">
        <v>0.58486111111111116</v>
      </c>
      <c r="B4">
        <v>60</v>
      </c>
      <c r="D4" s="2"/>
      <c r="H4" t="s">
        <v>3</v>
      </c>
    </row>
    <row r="5" spans="1:12">
      <c r="A5" s="2">
        <v>0.58531250000000001</v>
      </c>
      <c r="B5">
        <v>60</v>
      </c>
      <c r="D5" s="2"/>
      <c r="G5" t="s">
        <v>9</v>
      </c>
      <c r="H5">
        <v>8.6302510779556911</v>
      </c>
      <c r="I5">
        <f>H5/3600</f>
        <v>2.3972919660988031E-3</v>
      </c>
    </row>
    <row r="6" spans="1:12">
      <c r="A6" s="2">
        <v>0.58532407407407405</v>
      </c>
      <c r="B6">
        <v>0</v>
      </c>
      <c r="D6" s="2"/>
      <c r="G6" t="s">
        <v>4</v>
      </c>
      <c r="H6">
        <v>8.3425760420238344</v>
      </c>
      <c r="I6">
        <f>H6/3600</f>
        <v>2.3173822338955095E-3</v>
      </c>
    </row>
    <row r="7" spans="1:12">
      <c r="A7" s="2">
        <v>0.5873842592592593</v>
      </c>
      <c r="B7">
        <v>0</v>
      </c>
      <c r="D7" s="2"/>
      <c r="G7">
        <v>51</v>
      </c>
      <c r="H7">
        <v>7.335713416262335</v>
      </c>
      <c r="I7">
        <f>H7/3600</f>
        <v>2.037698171183982E-3</v>
      </c>
    </row>
    <row r="8" spans="1:12">
      <c r="A8" s="2">
        <v>0.58739583333333334</v>
      </c>
      <c r="B8">
        <v>60</v>
      </c>
      <c r="D8" s="2"/>
      <c r="I8" s="2"/>
    </row>
    <row r="9" spans="1:12">
      <c r="A9" s="2">
        <v>0.58800925925925929</v>
      </c>
      <c r="B9">
        <v>60</v>
      </c>
      <c r="D9" s="2"/>
    </row>
    <row r="10" spans="1:12">
      <c r="A10" s="2">
        <v>0.58802083333333333</v>
      </c>
      <c r="B10">
        <v>0</v>
      </c>
      <c r="D10" s="2"/>
      <c r="H10" t="s">
        <v>5</v>
      </c>
      <c r="I10" t="s">
        <v>6</v>
      </c>
      <c r="K10" t="s">
        <v>7</v>
      </c>
      <c r="L10" t="s">
        <v>8</v>
      </c>
    </row>
    <row r="11" spans="1:12">
      <c r="A11" s="2">
        <v>0.59009259259259261</v>
      </c>
      <c r="B11">
        <v>0</v>
      </c>
      <c r="D11" s="2"/>
      <c r="G11">
        <v>0.01</v>
      </c>
      <c r="H11" s="3">
        <f t="shared" ref="H11:H17" si="0">G11/$I$5</f>
        <v>4.1713734252709109</v>
      </c>
      <c r="I11" s="4">
        <f t="shared" ref="I11:I17" si="1">H11/60</f>
        <v>6.9522890421181843E-2</v>
      </c>
      <c r="J11" s="3">
        <f t="shared" ref="J11:J17" si="2">H11/10</f>
        <v>0.41713734252709112</v>
      </c>
    </row>
    <row r="12" spans="1:12">
      <c r="A12" s="2">
        <v>0.59010416666666665</v>
      </c>
      <c r="B12">
        <v>60</v>
      </c>
      <c r="D12" s="2"/>
      <c r="G12">
        <v>0.03</v>
      </c>
      <c r="H12" s="3">
        <f t="shared" si="0"/>
        <v>12.514120275812731</v>
      </c>
      <c r="I12" s="4">
        <f t="shared" si="1"/>
        <v>0.20856867126354553</v>
      </c>
      <c r="J12" s="3">
        <f t="shared" si="2"/>
        <v>1.251412027581273</v>
      </c>
      <c r="K12" s="3">
        <v>2</v>
      </c>
      <c r="L12" s="4">
        <f>I12-I11</f>
        <v>0.13904578084236369</v>
      </c>
    </row>
    <row r="13" spans="1:12">
      <c r="A13" s="2">
        <v>0.59133101851851855</v>
      </c>
      <c r="B13">
        <v>60</v>
      </c>
      <c r="D13" s="2"/>
      <c r="G13">
        <v>0.1</v>
      </c>
      <c r="H13" s="3">
        <f t="shared" si="0"/>
        <v>41.713734252709109</v>
      </c>
      <c r="I13" s="4">
        <f t="shared" si="1"/>
        <v>0.69522890421181849</v>
      </c>
      <c r="J13" s="3">
        <f t="shared" si="2"/>
        <v>4.1713734252709109</v>
      </c>
      <c r="K13" s="3">
        <f t="shared" ref="K13:K17" si="3">J13-J12</f>
        <v>2.9199613976896379</v>
      </c>
      <c r="L13" s="4">
        <f t="shared" ref="L13:L17" si="4">I13-I12</f>
        <v>0.48666023294827299</v>
      </c>
    </row>
    <row r="14" spans="1:12">
      <c r="A14" s="2">
        <v>0.59134259259259259</v>
      </c>
      <c r="B14">
        <v>0</v>
      </c>
      <c r="D14" s="2"/>
      <c r="G14">
        <v>0.3</v>
      </c>
      <c r="H14" s="3">
        <f t="shared" si="0"/>
        <v>125.14120275812731</v>
      </c>
      <c r="I14" s="4">
        <f t="shared" si="1"/>
        <v>2.085686712635455</v>
      </c>
      <c r="J14" s="3">
        <f t="shared" si="2"/>
        <v>12.514120275812731</v>
      </c>
      <c r="K14" s="3">
        <f t="shared" si="3"/>
        <v>8.3427468505418201</v>
      </c>
      <c r="L14" s="4">
        <f t="shared" si="4"/>
        <v>1.3904578084236365</v>
      </c>
    </row>
    <row r="15" spans="1:12">
      <c r="A15" s="2">
        <v>0.59355324074074078</v>
      </c>
      <c r="B15">
        <v>0</v>
      </c>
      <c r="D15" s="2"/>
      <c r="G15">
        <v>1</v>
      </c>
      <c r="H15" s="3">
        <f t="shared" si="0"/>
        <v>417.13734252709105</v>
      </c>
      <c r="I15" s="4">
        <f t="shared" si="1"/>
        <v>6.952289042118184</v>
      </c>
      <c r="J15" s="3">
        <f t="shared" si="2"/>
        <v>41.713734252709102</v>
      </c>
      <c r="K15" s="3">
        <f t="shared" si="3"/>
        <v>29.199613976896373</v>
      </c>
      <c r="L15" s="4">
        <f t="shared" si="4"/>
        <v>4.8666023294827294</v>
      </c>
    </row>
    <row r="16" spans="1:12">
      <c r="A16" s="2">
        <v>0.59356481481481482</v>
      </c>
      <c r="B16">
        <v>60</v>
      </c>
      <c r="D16" s="2"/>
      <c r="G16">
        <v>3</v>
      </c>
      <c r="H16" s="3">
        <f t="shared" si="0"/>
        <v>1251.4120275812732</v>
      </c>
      <c r="I16" s="4">
        <f t="shared" si="1"/>
        <v>20.856867126354551</v>
      </c>
      <c r="J16" s="3">
        <f t="shared" si="2"/>
        <v>125.14120275812732</v>
      </c>
      <c r="K16" s="3">
        <f t="shared" si="3"/>
        <v>83.427468505418219</v>
      </c>
      <c r="L16" s="4">
        <f t="shared" si="4"/>
        <v>13.904578084236366</v>
      </c>
    </row>
    <row r="17" spans="1:12">
      <c r="A17" s="2">
        <v>0.59703703703703703</v>
      </c>
      <c r="B17">
        <v>60</v>
      </c>
      <c r="D17" s="2"/>
      <c r="G17">
        <v>10</v>
      </c>
      <c r="H17" s="3">
        <f t="shared" si="0"/>
        <v>4171.373425270911</v>
      </c>
      <c r="I17" s="4">
        <f t="shared" si="1"/>
        <v>69.522890421181856</v>
      </c>
      <c r="J17" s="3">
        <f t="shared" si="2"/>
        <v>417.13734252709111</v>
      </c>
      <c r="K17" s="3">
        <f t="shared" si="3"/>
        <v>291.99613976896376</v>
      </c>
      <c r="L17" s="4">
        <f t="shared" si="4"/>
        <v>48.666023294827305</v>
      </c>
    </row>
    <row r="18" spans="1:12">
      <c r="A18" s="2">
        <v>0.59704861111111107</v>
      </c>
      <c r="B18">
        <v>0</v>
      </c>
      <c r="D18" s="2"/>
    </row>
    <row r="19" spans="1:12">
      <c r="A19" s="2">
        <v>0.59925925925925927</v>
      </c>
      <c r="B19">
        <v>0</v>
      </c>
      <c r="D19" s="2"/>
    </row>
    <row r="20" spans="1:12">
      <c r="A20" s="2">
        <v>0.59927083333333331</v>
      </c>
      <c r="B20">
        <v>60</v>
      </c>
      <c r="D20" s="2"/>
    </row>
    <row r="21" spans="1:12">
      <c r="A21" s="2">
        <v>0.60412037037037036</v>
      </c>
      <c r="B21">
        <v>60</v>
      </c>
      <c r="C21" s="5"/>
      <c r="D21" s="2"/>
    </row>
    <row r="22" spans="1:12">
      <c r="A22" s="2">
        <v>0.6041319444444444</v>
      </c>
      <c r="B22">
        <v>0</v>
      </c>
      <c r="C22" s="5"/>
      <c r="D22" s="2"/>
    </row>
    <row r="23" spans="1:12">
      <c r="A23" s="2">
        <v>0.62134259259259261</v>
      </c>
      <c r="B23">
        <v>0</v>
      </c>
      <c r="C23" s="5"/>
      <c r="D23" s="2"/>
    </row>
    <row r="24" spans="1:12">
      <c r="A24" s="2">
        <v>0.62135416666666665</v>
      </c>
      <c r="B24">
        <v>60</v>
      </c>
      <c r="C24" s="5"/>
      <c r="D24" s="2"/>
    </row>
    <row r="25" spans="1:12">
      <c r="A25" s="2">
        <v>0.62417824074074069</v>
      </c>
      <c r="B25">
        <v>60</v>
      </c>
      <c r="D25" s="1"/>
    </row>
    <row r="26" spans="1:12">
      <c r="A26" s="2">
        <v>0.62418981481481484</v>
      </c>
      <c r="B26">
        <v>0</v>
      </c>
      <c r="D26" s="2"/>
    </row>
    <row r="27" spans="1:12">
      <c r="A27" s="2">
        <v>0.62657407407407406</v>
      </c>
      <c r="B27">
        <v>0</v>
      </c>
      <c r="D27" s="2"/>
    </row>
    <row r="28" spans="1:12">
      <c r="A28" s="2">
        <v>0.6265856481481481</v>
      </c>
      <c r="B28">
        <v>58</v>
      </c>
      <c r="D28" s="2"/>
    </row>
    <row r="29" spans="1:12">
      <c r="A29" s="1">
        <v>0.6461689814814815</v>
      </c>
      <c r="B29">
        <v>58</v>
      </c>
      <c r="D29" s="2"/>
    </row>
    <row r="30" spans="1:12">
      <c r="A30" s="2">
        <v>0.64618055555555554</v>
      </c>
      <c r="B30">
        <v>0</v>
      </c>
      <c r="D30" s="2"/>
    </row>
    <row r="31" spans="1:12">
      <c r="A31" s="2">
        <v>0.64840277777777777</v>
      </c>
      <c r="B31">
        <v>0</v>
      </c>
      <c r="D31" s="2"/>
    </row>
    <row r="32" spans="1:12">
      <c r="A32" s="2">
        <v>0.64841435185185181</v>
      </c>
      <c r="B32">
        <v>60</v>
      </c>
      <c r="D32" s="2"/>
    </row>
    <row r="33" spans="1:4">
      <c r="A33" s="2">
        <v>0.66230324074074076</v>
      </c>
      <c r="B33">
        <v>60</v>
      </c>
      <c r="D33" s="2"/>
    </row>
    <row r="34" spans="1:4">
      <c r="A34" s="2">
        <v>0.6623148148148148</v>
      </c>
      <c r="B34">
        <v>0</v>
      </c>
      <c r="D34" s="2"/>
    </row>
    <row r="35" spans="1:4">
      <c r="A35" s="2">
        <v>0.66483796296296294</v>
      </c>
      <c r="B35">
        <v>0</v>
      </c>
      <c r="D35" s="2"/>
    </row>
    <row r="36" spans="1:4">
      <c r="A36" s="2">
        <v>0.66484953703703709</v>
      </c>
      <c r="B36">
        <v>58</v>
      </c>
    </row>
    <row r="37" spans="1:4">
      <c r="A37" s="2">
        <v>0.66782407407407407</v>
      </c>
      <c r="B37">
        <v>58</v>
      </c>
    </row>
    <row r="38" spans="1:4">
      <c r="A38" s="2">
        <v>0.66783564814814811</v>
      </c>
      <c r="B38">
        <v>0</v>
      </c>
    </row>
    <row r="39" spans="1:4">
      <c r="A39" s="2">
        <v>0.67162037037037037</v>
      </c>
      <c r="B3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87EE6-DB3B-6C4D-A44F-2B5E0B0056FD}">
  <dimension ref="A1:L35"/>
  <sheetViews>
    <sheetView workbookViewId="0">
      <selection activeCell="A29" sqref="A29"/>
    </sheetView>
  </sheetViews>
  <sheetFormatPr baseColWidth="10" defaultRowHeight="16"/>
  <sheetData>
    <row r="1" spans="1:12">
      <c r="A1" t="s">
        <v>0</v>
      </c>
      <c r="B1" t="s">
        <v>1</v>
      </c>
    </row>
    <row r="2" spans="1:12">
      <c r="A2" s="1">
        <v>0.70365740740740745</v>
      </c>
      <c r="B2">
        <v>0</v>
      </c>
    </row>
    <row r="3" spans="1:12">
      <c r="A3" s="2">
        <v>0.70841435185185186</v>
      </c>
      <c r="B3">
        <v>0</v>
      </c>
    </row>
    <row r="4" spans="1:12">
      <c r="A4" s="2">
        <v>0.7084259259259259</v>
      </c>
      <c r="B4">
        <v>56</v>
      </c>
      <c r="H4" t="s">
        <v>3</v>
      </c>
    </row>
    <row r="5" spans="1:12">
      <c r="A5" s="2">
        <v>0.70887731481481486</v>
      </c>
      <c r="B5">
        <v>56</v>
      </c>
      <c r="C5" s="2">
        <f>A5-A4</f>
        <v>4.5138888888895945E-4</v>
      </c>
      <c r="G5" t="s">
        <v>9</v>
      </c>
      <c r="H5">
        <v>8.6302510779556911</v>
      </c>
      <c r="I5">
        <f>H5/3600</f>
        <v>2.3972919660988031E-3</v>
      </c>
    </row>
    <row r="6" spans="1:12">
      <c r="A6" s="2">
        <v>0.7088888888888889</v>
      </c>
      <c r="B6">
        <v>0</v>
      </c>
      <c r="G6" t="s">
        <v>10</v>
      </c>
      <c r="H6">
        <v>8.0549010060919795</v>
      </c>
      <c r="I6">
        <f>H6/3600</f>
        <v>2.2374725016922163E-3</v>
      </c>
    </row>
    <row r="7" spans="1:12">
      <c r="A7" s="2">
        <v>0.71091435185185181</v>
      </c>
      <c r="B7">
        <v>0</v>
      </c>
      <c r="G7">
        <v>51</v>
      </c>
      <c r="H7">
        <v>7.335713416262335</v>
      </c>
      <c r="I7">
        <f>H7/3600</f>
        <v>2.037698171183982E-3</v>
      </c>
    </row>
    <row r="8" spans="1:12">
      <c r="A8" s="2">
        <v>0.71092592592592596</v>
      </c>
      <c r="B8">
        <v>56</v>
      </c>
      <c r="I8" s="2"/>
    </row>
    <row r="9" spans="1:12">
      <c r="A9" s="2">
        <v>0.71136574074074077</v>
      </c>
      <c r="B9">
        <v>56</v>
      </c>
      <c r="C9" s="2">
        <f>A9-A8</f>
        <v>4.3981481481480955E-4</v>
      </c>
    </row>
    <row r="10" spans="1:12">
      <c r="A10" s="2">
        <v>0.71137731481481481</v>
      </c>
      <c r="B10">
        <v>0</v>
      </c>
      <c r="H10" t="s">
        <v>5</v>
      </c>
      <c r="I10" t="s">
        <v>6</v>
      </c>
      <c r="K10" t="s">
        <v>7</v>
      </c>
      <c r="L10" t="s">
        <v>8</v>
      </c>
    </row>
    <row r="11" spans="1:12">
      <c r="A11" s="2">
        <v>0.71357638888888886</v>
      </c>
      <c r="B11">
        <v>0</v>
      </c>
      <c r="G11">
        <v>0.01</v>
      </c>
      <c r="H11" s="3">
        <f>G11/$I$6</f>
        <v>4.4693286699331187</v>
      </c>
      <c r="I11" s="4">
        <f>H11/60</f>
        <v>7.4488811165551977E-2</v>
      </c>
      <c r="J11" s="3">
        <f t="shared" ref="J11:J17" si="0">H11/10</f>
        <v>0.44693286699331186</v>
      </c>
    </row>
    <row r="12" spans="1:12">
      <c r="A12" s="2">
        <v>0.71358796296296301</v>
      </c>
      <c r="B12">
        <v>57</v>
      </c>
      <c r="G12">
        <v>0.03</v>
      </c>
      <c r="H12" s="3">
        <f t="shared" ref="H12:H17" si="1">G12/$I$6</f>
        <v>13.407986009799355</v>
      </c>
      <c r="I12" s="4">
        <f t="shared" ref="I12:I17" si="2">H12/60</f>
        <v>0.22346643349665593</v>
      </c>
      <c r="J12" s="3">
        <f t="shared" si="0"/>
        <v>1.3407986009799355</v>
      </c>
      <c r="K12" s="3">
        <v>2</v>
      </c>
      <c r="L12" s="4">
        <f>I12-I11</f>
        <v>0.14897762233110395</v>
      </c>
    </row>
    <row r="13" spans="1:12">
      <c r="A13" s="2">
        <v>0.71498842592592593</v>
      </c>
      <c r="B13">
        <v>57</v>
      </c>
      <c r="C13" s="2">
        <f>A13-A12</f>
        <v>1.4004629629629228E-3</v>
      </c>
      <c r="G13">
        <v>0.1</v>
      </c>
      <c r="H13" s="3">
        <f t="shared" si="1"/>
        <v>44.693286699331189</v>
      </c>
      <c r="I13" s="4">
        <f t="shared" si="2"/>
        <v>0.74488811165551982</v>
      </c>
      <c r="J13" s="3">
        <f t="shared" si="0"/>
        <v>4.4693286699331187</v>
      </c>
      <c r="K13" s="3">
        <f t="shared" ref="K13:K17" si="3">J13-J12</f>
        <v>3.1285300689531832</v>
      </c>
      <c r="L13" s="4">
        <f t="shared" ref="L13:L17" si="4">I13-I12</f>
        <v>0.52142167815886387</v>
      </c>
    </row>
    <row r="14" spans="1:12">
      <c r="A14" s="2">
        <v>0.71499999999999997</v>
      </c>
      <c r="B14">
        <v>0</v>
      </c>
      <c r="G14">
        <v>0.3</v>
      </c>
      <c r="H14" s="3">
        <f t="shared" si="1"/>
        <v>134.07986009799353</v>
      </c>
      <c r="I14" s="4">
        <f t="shared" si="2"/>
        <v>2.2346643349665589</v>
      </c>
      <c r="J14" s="3">
        <f t="shared" si="0"/>
        <v>13.407986009799354</v>
      </c>
      <c r="K14" s="3">
        <f t="shared" si="3"/>
        <v>8.9386573398662357</v>
      </c>
      <c r="L14" s="4">
        <f t="shared" si="4"/>
        <v>1.489776223311039</v>
      </c>
    </row>
    <row r="15" spans="1:12">
      <c r="A15" s="2">
        <v>0.71717592592592594</v>
      </c>
      <c r="B15">
        <v>0</v>
      </c>
      <c r="G15">
        <v>1</v>
      </c>
      <c r="H15" s="3">
        <f t="shared" si="1"/>
        <v>446.93286699331185</v>
      </c>
      <c r="I15" s="4">
        <f t="shared" si="2"/>
        <v>7.4488811165551976</v>
      </c>
      <c r="J15" s="3">
        <f t="shared" si="0"/>
        <v>44.693286699331182</v>
      </c>
      <c r="K15" s="3">
        <f t="shared" si="3"/>
        <v>31.28530068953183</v>
      </c>
      <c r="L15" s="4">
        <f t="shared" si="4"/>
        <v>5.2142167815886387</v>
      </c>
    </row>
    <row r="16" spans="1:12">
      <c r="A16" s="2">
        <v>0.71718749999999998</v>
      </c>
      <c r="B16">
        <v>57</v>
      </c>
      <c r="G16">
        <v>3</v>
      </c>
      <c r="H16" s="3">
        <f t="shared" si="1"/>
        <v>1340.7986009799356</v>
      </c>
      <c r="I16" s="4">
        <f t="shared" si="2"/>
        <v>22.346643349665595</v>
      </c>
      <c r="J16" s="3">
        <f t="shared" si="0"/>
        <v>134.07986009799356</v>
      </c>
      <c r="K16" s="3">
        <f t="shared" si="3"/>
        <v>89.386573398662378</v>
      </c>
      <c r="L16" s="4">
        <f t="shared" si="4"/>
        <v>14.897762233110397</v>
      </c>
    </row>
    <row r="17" spans="1:12">
      <c r="A17" s="2">
        <v>0.72092592592592597</v>
      </c>
      <c r="B17">
        <v>56</v>
      </c>
      <c r="C17" s="2">
        <f>A17-A16</f>
        <v>3.7384259259259922E-3</v>
      </c>
      <c r="G17">
        <v>10</v>
      </c>
      <c r="H17" s="3">
        <f t="shared" si="1"/>
        <v>4469.3286699331184</v>
      </c>
      <c r="I17" s="4">
        <f t="shared" si="2"/>
        <v>74.488811165551979</v>
      </c>
      <c r="J17" s="3">
        <f t="shared" si="0"/>
        <v>446.93286699331185</v>
      </c>
      <c r="K17" s="3">
        <f t="shared" si="3"/>
        <v>312.85300689531829</v>
      </c>
      <c r="L17" s="4">
        <f t="shared" si="4"/>
        <v>52.142167815886381</v>
      </c>
    </row>
    <row r="18" spans="1:12">
      <c r="A18" s="2">
        <v>0.72093750000000001</v>
      </c>
      <c r="B18">
        <v>0</v>
      </c>
    </row>
    <row r="19" spans="1:12">
      <c r="A19" s="2">
        <v>0.72329861111111116</v>
      </c>
      <c r="B19">
        <v>0</v>
      </c>
    </row>
    <row r="20" spans="1:12">
      <c r="A20" s="2">
        <v>0.72331018518518519</v>
      </c>
      <c r="B20">
        <v>56</v>
      </c>
    </row>
    <row r="21" spans="1:12">
      <c r="A21" s="2">
        <v>0.73378472222222224</v>
      </c>
      <c r="B21">
        <v>56</v>
      </c>
      <c r="C21" s="2">
        <f>A21-A20</f>
        <v>1.0474537037037046E-2</v>
      </c>
    </row>
    <row r="22" spans="1:12">
      <c r="A22" s="2">
        <v>0.73379629629629628</v>
      </c>
      <c r="B22">
        <v>0</v>
      </c>
    </row>
    <row r="23" spans="1:12">
      <c r="A23" s="2">
        <v>0.73629629629629634</v>
      </c>
      <c r="B23">
        <v>0</v>
      </c>
    </row>
    <row r="24" spans="1:12">
      <c r="A24" s="2">
        <v>0.73630787037037038</v>
      </c>
      <c r="B24">
        <v>56</v>
      </c>
    </row>
    <row r="25" spans="1:12">
      <c r="A25" s="1">
        <v>0.75854166666666667</v>
      </c>
      <c r="B25">
        <v>56</v>
      </c>
      <c r="C25" s="2">
        <f>A25-A24</f>
        <v>2.2233796296296293E-2</v>
      </c>
    </row>
    <row r="26" spans="1:12">
      <c r="A26" s="2">
        <v>0.75855324074074071</v>
      </c>
      <c r="B26">
        <v>0</v>
      </c>
    </row>
    <row r="27" spans="1:12">
      <c r="A27" s="2">
        <v>0.76091435185185186</v>
      </c>
      <c r="B27">
        <v>0</v>
      </c>
    </row>
    <row r="28" spans="1:12">
      <c r="A28" s="2">
        <v>0.76092592592592589</v>
      </c>
      <c r="B28">
        <v>56</v>
      </c>
    </row>
    <row r="29" spans="1:12">
      <c r="A29" s="1">
        <v>0.77500000000000002</v>
      </c>
      <c r="B29">
        <v>56</v>
      </c>
      <c r="C29" s="2">
        <f>A29-A28</f>
        <v>1.4074074074074128E-2</v>
      </c>
    </row>
    <row r="30" spans="1:12">
      <c r="A30" s="2">
        <v>0.77501157407407406</v>
      </c>
      <c r="B30">
        <v>0</v>
      </c>
    </row>
    <row r="31" spans="1:12">
      <c r="A31" s="2">
        <v>0.77730324074074075</v>
      </c>
      <c r="B31">
        <v>0</v>
      </c>
    </row>
    <row r="32" spans="1:12">
      <c r="A32" s="2">
        <v>0.77731481481481479</v>
      </c>
      <c r="B32">
        <v>56</v>
      </c>
    </row>
    <row r="33" spans="1:3">
      <c r="A33" s="2">
        <v>0.78028935185185189</v>
      </c>
      <c r="B33">
        <v>56</v>
      </c>
      <c r="C33" s="2">
        <f>A33-A32</f>
        <v>2.9745370370370949E-3</v>
      </c>
    </row>
    <row r="34" spans="1:3">
      <c r="A34" s="2">
        <v>0.78030092592592593</v>
      </c>
      <c r="B34">
        <v>0</v>
      </c>
    </row>
    <row r="35" spans="1:3">
      <c r="A35" s="2">
        <v>0.78513888888888894</v>
      </c>
      <c r="B3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A09D9-D001-8244-BB23-C8CA943AAAF0}">
  <dimension ref="A1:L35"/>
  <sheetViews>
    <sheetView zoomScale="125" workbookViewId="0">
      <selection activeCell="B35" sqref="A2:B35"/>
    </sheetView>
  </sheetViews>
  <sheetFormatPr baseColWidth="10" defaultRowHeight="16"/>
  <sheetData>
    <row r="1" spans="1:12">
      <c r="A1" t="s">
        <v>0</v>
      </c>
      <c r="B1" t="s">
        <v>1</v>
      </c>
    </row>
    <row r="2" spans="1:12">
      <c r="A2" s="1">
        <v>0.58072916666666663</v>
      </c>
      <c r="B2">
        <v>0</v>
      </c>
      <c r="C2" t="s">
        <v>2</v>
      </c>
    </row>
    <row r="3" spans="1:12">
      <c r="A3" s="2">
        <v>0.58484953703703701</v>
      </c>
      <c r="B3">
        <v>0</v>
      </c>
    </row>
    <row r="4" spans="1:12">
      <c r="A4" s="2">
        <v>0.58486111111111116</v>
      </c>
      <c r="B4">
        <v>60</v>
      </c>
      <c r="H4" t="s">
        <v>3</v>
      </c>
    </row>
    <row r="5" spans="1:12">
      <c r="A5" s="2">
        <v>0.58531250000000001</v>
      </c>
      <c r="B5">
        <v>60</v>
      </c>
      <c r="G5" t="s">
        <v>9</v>
      </c>
      <c r="H5">
        <v>8.6302510779556911</v>
      </c>
      <c r="I5">
        <f>H5/3600</f>
        <v>2.3972919660988031E-3</v>
      </c>
    </row>
    <row r="6" spans="1:12">
      <c r="A6" s="2">
        <v>0.58532407407407405</v>
      </c>
      <c r="B6">
        <v>0</v>
      </c>
      <c r="G6" t="s">
        <v>4</v>
      </c>
      <c r="H6">
        <v>8.3425760420238344</v>
      </c>
      <c r="I6">
        <f>H6/3600</f>
        <v>2.3173822338955095E-3</v>
      </c>
    </row>
    <row r="7" spans="1:12">
      <c r="A7" s="2">
        <v>0.5873842592592593</v>
      </c>
      <c r="B7">
        <v>0</v>
      </c>
      <c r="G7">
        <v>51</v>
      </c>
      <c r="H7">
        <v>7.335713416262335</v>
      </c>
      <c r="I7">
        <f>H7/3600</f>
        <v>2.037698171183982E-3</v>
      </c>
    </row>
    <row r="8" spans="1:12">
      <c r="A8" s="2">
        <v>0.58739583333333334</v>
      </c>
      <c r="B8">
        <v>60</v>
      </c>
      <c r="I8" s="2"/>
    </row>
    <row r="9" spans="1:12">
      <c r="A9" s="2">
        <v>0.58800925925925929</v>
      </c>
      <c r="B9">
        <v>60</v>
      </c>
    </row>
    <row r="10" spans="1:12">
      <c r="A10" s="2">
        <v>0.58802083333333333</v>
      </c>
      <c r="B10">
        <v>0</v>
      </c>
      <c r="H10" t="s">
        <v>5</v>
      </c>
      <c r="I10" t="s">
        <v>6</v>
      </c>
      <c r="K10" t="s">
        <v>7</v>
      </c>
      <c r="L10" t="s">
        <v>8</v>
      </c>
    </row>
    <row r="11" spans="1:12">
      <c r="A11" s="2">
        <v>0.59009259259259261</v>
      </c>
      <c r="B11">
        <v>0</v>
      </c>
      <c r="G11">
        <v>0.01</v>
      </c>
      <c r="H11" s="3">
        <f t="shared" ref="H11:H17" si="0">G11/$I$5</f>
        <v>4.1713734252709109</v>
      </c>
      <c r="I11" s="4">
        <f t="shared" ref="I11:I17" si="1">H11/60</f>
        <v>6.9522890421181843E-2</v>
      </c>
      <c r="J11" s="3">
        <f t="shared" ref="J11:J17" si="2">H11/10</f>
        <v>0.41713734252709112</v>
      </c>
    </row>
    <row r="12" spans="1:12">
      <c r="A12" s="2">
        <v>0.59010416666666665</v>
      </c>
      <c r="B12">
        <v>60</v>
      </c>
      <c r="G12">
        <v>0.03</v>
      </c>
      <c r="H12" s="3">
        <f t="shared" si="0"/>
        <v>12.514120275812731</v>
      </c>
      <c r="I12" s="4">
        <f t="shared" si="1"/>
        <v>0.20856867126354553</v>
      </c>
      <c r="J12" s="3">
        <f t="shared" si="2"/>
        <v>1.251412027581273</v>
      </c>
      <c r="K12" s="3">
        <v>2</v>
      </c>
      <c r="L12" s="4">
        <f>I12-I11</f>
        <v>0.13904578084236369</v>
      </c>
    </row>
    <row r="13" spans="1:12">
      <c r="A13" s="2">
        <v>0.59133101851851855</v>
      </c>
      <c r="B13">
        <v>60</v>
      </c>
      <c r="G13">
        <v>0.1</v>
      </c>
      <c r="H13" s="3">
        <f t="shared" si="0"/>
        <v>41.713734252709109</v>
      </c>
      <c r="I13" s="4">
        <f t="shared" si="1"/>
        <v>0.69522890421181849</v>
      </c>
      <c r="J13" s="3">
        <f t="shared" si="2"/>
        <v>4.1713734252709109</v>
      </c>
      <c r="K13" s="3">
        <f t="shared" ref="K13:K17" si="3">J13-J12</f>
        <v>2.9199613976896379</v>
      </c>
      <c r="L13" s="4">
        <f t="shared" ref="L13:L17" si="4">I13-I12</f>
        <v>0.48666023294827299</v>
      </c>
    </row>
    <row r="14" spans="1:12">
      <c r="A14" s="2">
        <v>0.59134259259259259</v>
      </c>
      <c r="B14">
        <v>0</v>
      </c>
      <c r="G14">
        <v>0.3</v>
      </c>
      <c r="H14" s="3">
        <f t="shared" si="0"/>
        <v>125.14120275812731</v>
      </c>
      <c r="I14" s="4">
        <f t="shared" si="1"/>
        <v>2.085686712635455</v>
      </c>
      <c r="J14" s="3">
        <f t="shared" si="2"/>
        <v>12.514120275812731</v>
      </c>
      <c r="K14" s="3">
        <f t="shared" si="3"/>
        <v>8.3427468505418201</v>
      </c>
      <c r="L14" s="4">
        <f t="shared" si="4"/>
        <v>1.3904578084236365</v>
      </c>
    </row>
    <row r="15" spans="1:12">
      <c r="A15" s="2">
        <v>0.59355324074074078</v>
      </c>
      <c r="B15">
        <v>0</v>
      </c>
      <c r="G15">
        <v>1</v>
      </c>
      <c r="H15" s="3">
        <f t="shared" si="0"/>
        <v>417.13734252709105</v>
      </c>
      <c r="I15" s="4">
        <f t="shared" si="1"/>
        <v>6.952289042118184</v>
      </c>
      <c r="J15" s="3">
        <f t="shared" si="2"/>
        <v>41.713734252709102</v>
      </c>
      <c r="K15" s="3">
        <f t="shared" si="3"/>
        <v>29.199613976896373</v>
      </c>
      <c r="L15" s="4">
        <f t="shared" si="4"/>
        <v>4.8666023294827294</v>
      </c>
    </row>
    <row r="16" spans="1:12">
      <c r="A16" s="2">
        <v>0.59356481481481482</v>
      </c>
      <c r="B16">
        <v>60</v>
      </c>
      <c r="G16">
        <v>3</v>
      </c>
      <c r="H16" s="3">
        <f t="shared" si="0"/>
        <v>1251.4120275812732</v>
      </c>
      <c r="I16" s="4">
        <f t="shared" si="1"/>
        <v>20.856867126354551</v>
      </c>
      <c r="J16" s="3">
        <f t="shared" si="2"/>
        <v>125.14120275812732</v>
      </c>
      <c r="K16" s="3">
        <f t="shared" si="3"/>
        <v>83.427468505418219</v>
      </c>
      <c r="L16" s="4">
        <f t="shared" si="4"/>
        <v>13.904578084236366</v>
      </c>
    </row>
    <row r="17" spans="1:12">
      <c r="A17" s="2">
        <v>0.59703703703703703</v>
      </c>
      <c r="B17">
        <v>60</v>
      </c>
      <c r="G17">
        <v>10</v>
      </c>
      <c r="H17" s="3">
        <f t="shared" si="0"/>
        <v>4171.373425270911</v>
      </c>
      <c r="I17" s="4">
        <f t="shared" si="1"/>
        <v>69.522890421181856</v>
      </c>
      <c r="J17" s="3">
        <f t="shared" si="2"/>
        <v>417.13734252709111</v>
      </c>
      <c r="K17" s="3">
        <f t="shared" si="3"/>
        <v>291.99613976896376</v>
      </c>
      <c r="L17" s="4">
        <f t="shared" si="4"/>
        <v>48.666023294827305</v>
      </c>
    </row>
    <row r="18" spans="1:12">
      <c r="A18" s="2">
        <v>0.59704861111111107</v>
      </c>
      <c r="B18">
        <v>0</v>
      </c>
    </row>
    <row r="19" spans="1:12">
      <c r="A19" s="2">
        <v>0.59925925925925927</v>
      </c>
      <c r="B19">
        <v>0</v>
      </c>
    </row>
    <row r="20" spans="1:12">
      <c r="A20" s="2">
        <v>0.59927083333333331</v>
      </c>
      <c r="B20">
        <v>60</v>
      </c>
    </row>
    <row r="21" spans="1:12">
      <c r="A21" s="2">
        <v>0.62417824074074069</v>
      </c>
      <c r="B21">
        <v>60</v>
      </c>
    </row>
    <row r="22" spans="1:12">
      <c r="A22" s="2">
        <v>0.62418981481481484</v>
      </c>
      <c r="B22">
        <v>0</v>
      </c>
    </row>
    <row r="23" spans="1:12">
      <c r="A23" s="2">
        <v>0.62657407407407406</v>
      </c>
      <c r="B23">
        <v>0</v>
      </c>
    </row>
    <row r="24" spans="1:12">
      <c r="A24" s="2">
        <v>0.6265856481481481</v>
      </c>
      <c r="B24">
        <v>58</v>
      </c>
    </row>
    <row r="25" spans="1:12">
      <c r="A25" s="1">
        <v>0.6461689814814815</v>
      </c>
      <c r="B25">
        <v>58</v>
      </c>
    </row>
    <row r="26" spans="1:12">
      <c r="A26" s="2">
        <v>0.64618055555555554</v>
      </c>
      <c r="B26">
        <v>0</v>
      </c>
    </row>
    <row r="27" spans="1:12">
      <c r="A27" s="2">
        <v>0.64840277777777777</v>
      </c>
      <c r="B27">
        <v>0</v>
      </c>
    </row>
    <row r="28" spans="1:12">
      <c r="A28" s="2">
        <v>0.64841435185185181</v>
      </c>
      <c r="B28">
        <v>60</v>
      </c>
    </row>
    <row r="29" spans="1:12">
      <c r="A29" s="2">
        <v>0.66230324074074076</v>
      </c>
      <c r="B29">
        <v>60</v>
      </c>
    </row>
    <row r="30" spans="1:12">
      <c r="A30" s="2">
        <v>0.6623148148148148</v>
      </c>
      <c r="B30">
        <v>0</v>
      </c>
    </row>
    <row r="31" spans="1:12">
      <c r="A31" s="2">
        <v>0.66483796296296294</v>
      </c>
      <c r="B31">
        <v>0</v>
      </c>
    </row>
    <row r="32" spans="1:12">
      <c r="A32" s="2">
        <v>0.66484953703703709</v>
      </c>
      <c r="B32">
        <v>58</v>
      </c>
    </row>
    <row r="33" spans="1:2">
      <c r="A33" s="2">
        <v>0.66782407407407407</v>
      </c>
      <c r="B33">
        <v>58</v>
      </c>
    </row>
    <row r="34" spans="1:2">
      <c r="A34" s="2">
        <v>0.66783564814814811</v>
      </c>
      <c r="B34">
        <v>0</v>
      </c>
    </row>
    <row r="35" spans="1:2">
      <c r="A35" s="2">
        <v>0.67162037037037037</v>
      </c>
      <c r="B3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Beam_044_18_RT_lecroy</vt:lpstr>
      <vt:lpstr>Beam_044_15_RT_lecroy</vt:lpstr>
      <vt:lpstr>Beam_044_18_RT_lecroy_timecorr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Botica Artalejo</dc:creator>
  <cp:lastModifiedBy>Elena Botica Artalejo</cp:lastModifiedBy>
  <dcterms:created xsi:type="dcterms:W3CDTF">2025-09-17T17:58:12Z</dcterms:created>
  <dcterms:modified xsi:type="dcterms:W3CDTF">2025-12-15T15:31:35Z</dcterms:modified>
</cp:coreProperties>
</file>