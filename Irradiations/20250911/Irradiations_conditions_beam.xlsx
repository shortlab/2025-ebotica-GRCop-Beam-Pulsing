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tprod-my.sharepoint.com/personal/ebotica_mit_edu/Documents/Desktop/MIT/Short Lab/Irradiations/20250911/"/>
    </mc:Choice>
  </mc:AlternateContent>
  <xr:revisionPtr revIDLastSave="1417" documentId="8_{28E89984-54E6-2E41-B564-2A0D39309D69}" xr6:coauthVersionLast="47" xr6:coauthVersionMax="47" xr10:uidLastSave="{2CBB11CC-E8F6-7741-B903-8CC913503443}"/>
  <bookViews>
    <workbookView xWindow="0" yWindow="660" windowWidth="25600" windowHeight="14060" xr2:uid="{7CF0A3D7-BE8F-C643-BAFC-A61B6B929027}"/>
  </bookViews>
  <sheets>
    <sheet name="Beam_pulsed_042_10_RT_lecroy" sheetId="1" r:id="rId1"/>
    <sheet name="Beam_044_15_RT_lecroy" sheetId="2" r:id="rId2"/>
    <sheet name="Beam_042_05_RT_lecroy" sheetId="3" r:id="rId3"/>
    <sheet name="Beam_042_16_RT_lecroy" sheetId="4" r:id="rId4"/>
    <sheet name="Beam_pulsed_042_16_RT_lecroy" sheetId="6" r:id="rId5"/>
    <sheet name="Beam_042_16_RT_lecroy_spot2" sheetId="7" r:id="rId6"/>
    <sheet name="Beam_042_05_RT_lecroy_spot2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8" l="1"/>
  <c r="H12" i="8" s="1"/>
  <c r="H16" i="7"/>
  <c r="J16" i="7" s="1"/>
  <c r="H13" i="7"/>
  <c r="I13" i="7" s="1"/>
  <c r="I6" i="7"/>
  <c r="H12" i="7" s="1"/>
  <c r="I5" i="7"/>
  <c r="H7" i="6"/>
  <c r="K12" i="4"/>
  <c r="K11" i="4"/>
  <c r="H11" i="4"/>
  <c r="H12" i="4"/>
  <c r="H13" i="4"/>
  <c r="H14" i="4"/>
  <c r="H15" i="4"/>
  <c r="H16" i="4"/>
  <c r="H10" i="4"/>
  <c r="I6" i="4"/>
  <c r="J12" i="8" l="1"/>
  <c r="I12" i="8"/>
  <c r="H14" i="8"/>
  <c r="H11" i="8"/>
  <c r="H16" i="8"/>
  <c r="H13" i="8"/>
  <c r="H15" i="8"/>
  <c r="H10" i="8"/>
  <c r="J12" i="7"/>
  <c r="I12" i="7"/>
  <c r="H14" i="7"/>
  <c r="H11" i="7"/>
  <c r="I16" i="7"/>
  <c r="J13" i="7"/>
  <c r="K13" i="7" s="1"/>
  <c r="H15" i="7"/>
  <c r="H10" i="7"/>
  <c r="J16" i="8" l="1"/>
  <c r="I16" i="8"/>
  <c r="I11" i="8"/>
  <c r="J11" i="8"/>
  <c r="I10" i="8"/>
  <c r="J10" i="8"/>
  <c r="I15" i="8"/>
  <c r="L15" i="8" s="1"/>
  <c r="J15" i="8"/>
  <c r="K15" i="8" s="1"/>
  <c r="J13" i="8"/>
  <c r="K13" i="8" s="1"/>
  <c r="I13" i="8"/>
  <c r="L13" i="8" s="1"/>
  <c r="J14" i="8"/>
  <c r="K14" i="8" s="1"/>
  <c r="I14" i="8"/>
  <c r="L14" i="8" s="1"/>
  <c r="L12" i="8"/>
  <c r="K12" i="8"/>
  <c r="J14" i="7"/>
  <c r="K14" i="7" s="1"/>
  <c r="I14" i="7"/>
  <c r="L14" i="7" s="1"/>
  <c r="I11" i="7"/>
  <c r="J11" i="7"/>
  <c r="K11" i="7" s="1"/>
  <c r="L12" i="7"/>
  <c r="I10" i="7"/>
  <c r="J10" i="7"/>
  <c r="I15" i="7"/>
  <c r="J15" i="7"/>
  <c r="L13" i="7"/>
  <c r="L11" i="8" l="1"/>
  <c r="K11" i="8"/>
  <c r="L16" i="8"/>
  <c r="K16" i="8"/>
  <c r="L11" i="7"/>
  <c r="K12" i="7"/>
  <c r="K15" i="7"/>
  <c r="K16" i="7"/>
  <c r="L15" i="7"/>
  <c r="L16" i="7"/>
  <c r="C65" i="6" l="1"/>
  <c r="C49" i="6"/>
  <c r="C33" i="6"/>
  <c r="C17" i="6"/>
  <c r="H6" i="6"/>
  <c r="I5" i="4"/>
  <c r="H16" i="3"/>
  <c r="I16" i="3" s="1"/>
  <c r="J7" i="3"/>
  <c r="I6" i="3"/>
  <c r="I5" i="3"/>
  <c r="H12" i="3" s="1"/>
  <c r="I5" i="2"/>
  <c r="H13" i="2" s="1"/>
  <c r="J7" i="2"/>
  <c r="I6" i="2"/>
  <c r="H12" i="2" l="1"/>
  <c r="H11" i="2"/>
  <c r="J11" i="2" s="1"/>
  <c r="J11" i="4"/>
  <c r="J14" i="4"/>
  <c r="H10" i="2"/>
  <c r="J10" i="2" s="1"/>
  <c r="K11" i="2" s="1"/>
  <c r="H16" i="2"/>
  <c r="I16" i="2" s="1"/>
  <c r="H15" i="2"/>
  <c r="H14" i="2"/>
  <c r="J14" i="2" s="1"/>
  <c r="H11" i="3"/>
  <c r="J11" i="3" s="1"/>
  <c r="H14" i="3"/>
  <c r="J14" i="3" s="1"/>
  <c r="J12" i="4"/>
  <c r="I12" i="4"/>
  <c r="I14" i="4"/>
  <c r="I11" i="4"/>
  <c r="J12" i="3"/>
  <c r="K12" i="3" s="1"/>
  <c r="I12" i="3"/>
  <c r="J16" i="3"/>
  <c r="I14" i="3"/>
  <c r="I11" i="3"/>
  <c r="H13" i="3"/>
  <c r="H15" i="3"/>
  <c r="H10" i="3"/>
  <c r="I10" i="2"/>
  <c r="J12" i="2"/>
  <c r="K12" i="2" s="1"/>
  <c r="I12" i="2"/>
  <c r="L12" i="2" s="1"/>
  <c r="I14" i="2"/>
  <c r="J16" i="2"/>
  <c r="I11" i="2"/>
  <c r="I16" i="4" l="1"/>
  <c r="J16" i="4"/>
  <c r="J10" i="4"/>
  <c r="I10" i="4"/>
  <c r="L11" i="4" s="1"/>
  <c r="I15" i="4"/>
  <c r="J15" i="4"/>
  <c r="L12" i="4"/>
  <c r="J13" i="4"/>
  <c r="I13" i="4"/>
  <c r="L13" i="4" s="1"/>
  <c r="L12" i="3"/>
  <c r="I15" i="3"/>
  <c r="J15" i="3"/>
  <c r="K15" i="3" s="1"/>
  <c r="J10" i="3"/>
  <c r="K11" i="3" s="1"/>
  <c r="I10" i="3"/>
  <c r="L11" i="3" s="1"/>
  <c r="J13" i="3"/>
  <c r="I13" i="3"/>
  <c r="L13" i="3" s="1"/>
  <c r="L11" i="2"/>
  <c r="I13" i="2"/>
  <c r="L13" i="2" s="1"/>
  <c r="J13" i="2"/>
  <c r="I15" i="2"/>
  <c r="J15" i="2"/>
  <c r="K15" i="2" s="1"/>
  <c r="K16" i="2"/>
  <c r="L14" i="3" l="1"/>
  <c r="K13" i="4"/>
  <c r="K14" i="4"/>
  <c r="K15" i="4"/>
  <c r="K16" i="4"/>
  <c r="L15" i="4"/>
  <c r="L16" i="4"/>
  <c r="L14" i="4"/>
  <c r="L15" i="3"/>
  <c r="L16" i="3"/>
  <c r="K16" i="3"/>
  <c r="K13" i="3"/>
  <c r="K14" i="3"/>
  <c r="L15" i="2"/>
  <c r="L16" i="2"/>
  <c r="K13" i="2"/>
  <c r="K14" i="2"/>
  <c r="L14" i="2"/>
  <c r="G11" i="1"/>
  <c r="G10" i="1"/>
  <c r="H10" i="1" s="1"/>
  <c r="H11" i="1" s="1"/>
  <c r="G5" i="1"/>
  <c r="H5" i="1" s="1"/>
  <c r="H6" i="1" s="1"/>
  <c r="C6" i="1"/>
</calcChain>
</file>

<file path=xl/sharedStrings.xml><?xml version="1.0" encoding="utf-8"?>
<sst xmlns="http://schemas.openxmlformats.org/spreadsheetml/2006/main" count="53" uniqueCount="19">
  <si>
    <t>time</t>
  </si>
  <si>
    <t>Current</t>
  </si>
  <si>
    <t>1st tgs</t>
  </si>
  <si>
    <t>dpa/hr</t>
  </si>
  <si>
    <t>5 dpa</t>
  </si>
  <si>
    <t>s</t>
  </si>
  <si>
    <t>min</t>
  </si>
  <si>
    <t>points extra</t>
  </si>
  <si>
    <t>time extra</t>
  </si>
  <si>
    <t>80nA</t>
  </si>
  <si>
    <t>1st tgs measurement</t>
  </si>
  <si>
    <t>Time</t>
  </si>
  <si>
    <t>Las bajadas del SAW no se notan porque el SAW va creciendo y se camuflan</t>
  </si>
  <si>
    <t>Repetir en 042_16, que ya estubo sometido a temperatura por lo que no se espera que el SAW suba</t>
  </si>
  <si>
    <t>last tgs measurement</t>
  </si>
  <si>
    <t>dpa/min</t>
  </si>
  <si>
    <t xml:space="preserve"> </t>
  </si>
  <si>
    <t>20:27 acaba el 0.3 a 44na</t>
  </si>
  <si>
    <t>pasaron 6 min desde el final del 0.1, aunque creo que el acelerador arc en el segundo punto, por lo que solo hay uno o dos a lo mucho para 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</si>
</sst>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2"/>
      <color theme="1"/>
      <name val="Aptos Narrow"/>
      <family val="2"/>
      <scheme val="minor"/>
    </font>
    <font>
      <sz val="11"/>
      <color rgb="FF000000"/>
      <name val="Liberation San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21" fontId="0" fillId="0" borderId="0" xfId="0" applyNumberFormat="1"/>
    <xf numFmtId="20" fontId="0" fillId="0" borderId="0" xfId="0" applyNumberFormat="1"/>
    <xf numFmtId="1" fontId="0" fillId="0" borderId="0" xfId="0" applyNumberFormat="1"/>
    <xf numFmtId="164" fontId="0" fillId="0" borderId="0" xfId="0" applyNumberFormat="1"/>
    <xf numFmtId="0" fontId="0" fillId="2" borderId="0" xfId="0" applyFill="1"/>
    <xf numFmtId="46" fontId="0" fillId="0" borderId="0" xfId="0" applyNumberFormat="1"/>
    <xf numFmtId="11" fontId="0" fillId="0" borderId="0" xfId="0" applyNumberFormat="1"/>
  </cellXfs>
  <cellStyles count="2">
    <cellStyle name="Normal" xfId="0" builtinId="0"/>
    <cellStyle name="Normal 2" xfId="1" xr:uid="{48304242-2A23-3B4B-AD01-B7AEECBFD7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985BE-0493-DC4B-B132-409CA3319BB1}">
  <dimension ref="A1:X77"/>
  <sheetViews>
    <sheetView tabSelected="1" topLeftCell="A38" zoomScale="150" workbookViewId="0">
      <selection activeCell="A48" sqref="A48"/>
    </sheetView>
  </sheetViews>
  <sheetFormatPr baseColWidth="10" defaultRowHeight="16"/>
  <sheetData>
    <row r="1" spans="1:8">
      <c r="A1" t="s">
        <v>0</v>
      </c>
      <c r="B1" t="s">
        <v>1</v>
      </c>
    </row>
    <row r="2" spans="1:8">
      <c r="A2" s="2">
        <v>0.46682870370370372</v>
      </c>
      <c r="B2">
        <v>0</v>
      </c>
      <c r="C2" t="s">
        <v>2</v>
      </c>
    </row>
    <row r="3" spans="1:8">
      <c r="A3" s="1">
        <v>0.47013888888888888</v>
      </c>
      <c r="B3">
        <v>0</v>
      </c>
      <c r="E3" s="5">
        <v>60</v>
      </c>
      <c r="F3">
        <v>8.6302510779556911</v>
      </c>
      <c r="G3" t="s">
        <v>3</v>
      </c>
    </row>
    <row r="4" spans="1:8">
      <c r="A4" s="1">
        <v>0.47226851851851853</v>
      </c>
      <c r="B4">
        <v>0</v>
      </c>
    </row>
    <row r="5" spans="1:8">
      <c r="A5" s="1">
        <v>0.47228009259259257</v>
      </c>
      <c r="B5">
        <v>46</v>
      </c>
      <c r="F5" t="s">
        <v>4</v>
      </c>
      <c r="G5">
        <f>5/F3</f>
        <v>0.57935742017651537</v>
      </c>
      <c r="H5">
        <f>G5*60</f>
        <v>34.761445210590921</v>
      </c>
    </row>
    <row r="6" spans="1:8">
      <c r="A6" s="1">
        <v>0.47443287037037035</v>
      </c>
      <c r="B6">
        <v>46</v>
      </c>
      <c r="C6" s="1">
        <f>A6-A5</f>
        <v>2.1527777777777812E-3</v>
      </c>
      <c r="H6">
        <f>H5*2</f>
        <v>69.522890421181842</v>
      </c>
    </row>
    <row r="7" spans="1:8">
      <c r="A7" s="1">
        <v>0.47444444444444445</v>
      </c>
      <c r="B7">
        <v>0</v>
      </c>
    </row>
    <row r="8" spans="1:8">
      <c r="A8" s="1">
        <v>0.47662037037037036</v>
      </c>
      <c r="B8">
        <v>0</v>
      </c>
    </row>
    <row r="9" spans="1:8">
      <c r="A9" s="1">
        <v>0.47663194444444446</v>
      </c>
      <c r="B9">
        <v>46</v>
      </c>
    </row>
    <row r="10" spans="1:8">
      <c r="A10" s="1">
        <v>0.47878472222222224</v>
      </c>
      <c r="B10">
        <v>46</v>
      </c>
      <c r="G10">
        <f>3*F3/60</f>
        <v>0.43151255389778453</v>
      </c>
      <c r="H10">
        <f>G10*11</f>
        <v>4.7466380928756298</v>
      </c>
    </row>
    <row r="11" spans="1:8">
      <c r="A11" s="1">
        <v>0.47879629629629628</v>
      </c>
      <c r="B11">
        <v>0</v>
      </c>
      <c r="G11">
        <f>F3/50</f>
        <v>0.17260502155911384</v>
      </c>
      <c r="H11">
        <f>H10+(2*G11)</f>
        <v>5.0918481359938577</v>
      </c>
    </row>
    <row r="12" spans="1:8">
      <c r="A12" s="1">
        <v>0.48097222222222225</v>
      </c>
      <c r="B12">
        <v>0</v>
      </c>
    </row>
    <row r="13" spans="1:8">
      <c r="A13" s="1">
        <v>0.48098379629629628</v>
      </c>
      <c r="B13">
        <v>46</v>
      </c>
    </row>
    <row r="14" spans="1:8">
      <c r="A14" s="1">
        <v>0.48313657407407407</v>
      </c>
      <c r="B14">
        <v>46</v>
      </c>
    </row>
    <row r="15" spans="1:8">
      <c r="A15" s="1">
        <v>0.48314814814814816</v>
      </c>
      <c r="B15">
        <v>0</v>
      </c>
    </row>
    <row r="16" spans="1:8">
      <c r="A16" s="1">
        <v>0.48531249999999998</v>
      </c>
      <c r="B16">
        <v>0</v>
      </c>
    </row>
    <row r="17" spans="1:17">
      <c r="A17" s="1">
        <v>0.48532407407407407</v>
      </c>
      <c r="B17">
        <v>46</v>
      </c>
    </row>
    <row r="18" spans="1:17">
      <c r="A18" s="1">
        <v>0.48747685185185186</v>
      </c>
      <c r="B18">
        <v>46</v>
      </c>
    </row>
    <row r="19" spans="1:17">
      <c r="A19" s="1">
        <v>0.48748842592592595</v>
      </c>
      <c r="B19">
        <v>0</v>
      </c>
      <c r="E19" s="2"/>
    </row>
    <row r="20" spans="1:17">
      <c r="A20" s="1">
        <v>0.48966435185185186</v>
      </c>
      <c r="B20">
        <v>0</v>
      </c>
    </row>
    <row r="21" spans="1:17">
      <c r="A21" s="1">
        <v>0.4896759259259259</v>
      </c>
      <c r="B21">
        <v>46</v>
      </c>
    </row>
    <row r="22" spans="1:17">
      <c r="A22" s="1">
        <v>0.49182870370370368</v>
      </c>
      <c r="B22">
        <v>46</v>
      </c>
    </row>
    <row r="23" spans="1:17">
      <c r="A23" s="1">
        <v>0.49184027777777778</v>
      </c>
      <c r="B23">
        <v>0</v>
      </c>
    </row>
    <row r="24" spans="1:17">
      <c r="A24" s="1">
        <v>0.49401620370370369</v>
      </c>
      <c r="B24">
        <v>0</v>
      </c>
      <c r="Q24" s="7"/>
    </row>
    <row r="25" spans="1:17">
      <c r="A25" s="1">
        <v>0.49402777777777779</v>
      </c>
      <c r="B25">
        <v>46</v>
      </c>
      <c r="Q25" s="7"/>
    </row>
    <row r="26" spans="1:17">
      <c r="A26" s="1">
        <v>0.49618055555555557</v>
      </c>
      <c r="B26">
        <v>46</v>
      </c>
      <c r="Q26" s="7"/>
    </row>
    <row r="27" spans="1:17">
      <c r="A27" s="1">
        <v>0.49619212962962961</v>
      </c>
      <c r="B27">
        <v>0</v>
      </c>
    </row>
    <row r="28" spans="1:17">
      <c r="A28" s="1">
        <v>0.49836805555555558</v>
      </c>
      <c r="B28">
        <v>0</v>
      </c>
    </row>
    <row r="29" spans="1:17">
      <c r="A29" s="1">
        <v>0.49837962962962962</v>
      </c>
      <c r="B29">
        <v>46</v>
      </c>
    </row>
    <row r="30" spans="1:17">
      <c r="A30" s="1">
        <v>0.50053240740740745</v>
      </c>
      <c r="B30">
        <v>46</v>
      </c>
    </row>
    <row r="31" spans="1:17">
      <c r="A31" s="1">
        <v>0.50054398148148149</v>
      </c>
      <c r="B31">
        <v>0</v>
      </c>
    </row>
    <row r="32" spans="1:17">
      <c r="A32" s="1">
        <v>0.50271990740740746</v>
      </c>
      <c r="B32">
        <v>0</v>
      </c>
    </row>
    <row r="33" spans="1:23">
      <c r="A33" s="1">
        <v>0.5027314814814815</v>
      </c>
      <c r="B33">
        <v>46</v>
      </c>
    </row>
    <row r="34" spans="1:23">
      <c r="A34" s="1">
        <v>0.50488425925925928</v>
      </c>
      <c r="B34">
        <v>46</v>
      </c>
      <c r="S34" s="7"/>
      <c r="T34" s="7"/>
    </row>
    <row r="35" spans="1:23">
      <c r="A35" s="1">
        <v>0.50489583333333332</v>
      </c>
      <c r="B35">
        <v>0</v>
      </c>
      <c r="S35" s="7"/>
      <c r="T35" s="7"/>
    </row>
    <row r="36" spans="1:23">
      <c r="A36" s="1">
        <v>0.50707175925925929</v>
      </c>
      <c r="B36">
        <v>0</v>
      </c>
      <c r="S36" s="7"/>
      <c r="T36" s="7"/>
    </row>
    <row r="37" spans="1:23">
      <c r="A37" s="1">
        <v>0.50708333333333333</v>
      </c>
      <c r="B37">
        <v>46</v>
      </c>
    </row>
    <row r="38" spans="1:23">
      <c r="A38" s="1">
        <v>0.50923611111111111</v>
      </c>
      <c r="B38">
        <v>46</v>
      </c>
    </row>
    <row r="39" spans="1:23">
      <c r="A39" s="1">
        <v>0.50924768518518515</v>
      </c>
      <c r="B39">
        <v>0</v>
      </c>
    </row>
    <row r="40" spans="1:23">
      <c r="A40" s="1">
        <v>0.51142361111111112</v>
      </c>
      <c r="B40">
        <v>0</v>
      </c>
      <c r="S40" s="7"/>
      <c r="T40" s="7"/>
      <c r="U40" s="7"/>
      <c r="W40" s="7"/>
    </row>
    <row r="41" spans="1:23">
      <c r="A41" s="1">
        <v>0.51143518518518516</v>
      </c>
      <c r="B41">
        <v>46</v>
      </c>
      <c r="S41" s="7"/>
      <c r="T41" s="7"/>
      <c r="U41" s="7"/>
    </row>
    <row r="42" spans="1:23">
      <c r="A42" s="1">
        <v>0.5135763888888889</v>
      </c>
      <c r="B42">
        <v>46</v>
      </c>
    </row>
    <row r="43" spans="1:23">
      <c r="A43" s="1">
        <v>0.51358796296296294</v>
      </c>
      <c r="B43">
        <v>0</v>
      </c>
    </row>
    <row r="44" spans="1:23">
      <c r="A44" s="1">
        <v>0.51576388888888891</v>
      </c>
      <c r="B44">
        <v>0</v>
      </c>
      <c r="S44" s="7"/>
      <c r="T44" s="7"/>
      <c r="U44" s="7"/>
    </row>
    <row r="45" spans="1:23">
      <c r="A45" s="1">
        <v>0.51577546296296295</v>
      </c>
      <c r="B45">
        <v>46</v>
      </c>
      <c r="S45" s="7"/>
      <c r="T45" s="7"/>
      <c r="U45" s="7"/>
    </row>
    <row r="46" spans="1:23">
      <c r="A46" s="1">
        <v>0.51792824074074073</v>
      </c>
      <c r="B46">
        <v>46</v>
      </c>
    </row>
    <row r="47" spans="1:23">
      <c r="A47" s="1">
        <v>0.51793981481481477</v>
      </c>
      <c r="B47">
        <v>0</v>
      </c>
    </row>
    <row r="48" spans="1:23">
      <c r="A48" s="1">
        <v>0.52011574074074074</v>
      </c>
      <c r="B48">
        <v>0</v>
      </c>
    </row>
    <row r="49" spans="1:24">
      <c r="A49" s="1">
        <v>0.52012731481481478</v>
      </c>
      <c r="B49">
        <v>46</v>
      </c>
    </row>
    <row r="50" spans="1:24">
      <c r="A50" s="1">
        <v>0.52159722222222227</v>
      </c>
      <c r="B50">
        <v>46</v>
      </c>
    </row>
    <row r="51" spans="1:24">
      <c r="A51" s="1">
        <v>0.52160879629629631</v>
      </c>
      <c r="B51">
        <v>0</v>
      </c>
    </row>
    <row r="52" spans="1:24">
      <c r="A52" s="1">
        <v>0.52716435185185184</v>
      </c>
      <c r="B52">
        <v>0</v>
      </c>
    </row>
    <row r="53" spans="1:24">
      <c r="A53" s="1"/>
    </row>
    <row r="54" spans="1:24">
      <c r="A54" s="2"/>
    </row>
    <row r="55" spans="1:24">
      <c r="A55" s="1"/>
    </row>
    <row r="56" spans="1:24">
      <c r="A56" s="1"/>
      <c r="C56" s="7"/>
      <c r="D56" s="1"/>
    </row>
    <row r="57" spans="1:24">
      <c r="E57" s="7"/>
      <c r="F57" s="7"/>
      <c r="H57" s="7"/>
      <c r="I57" s="7"/>
      <c r="K57" s="7"/>
      <c r="L57" s="7"/>
      <c r="M57" s="7"/>
      <c r="P57" s="7"/>
      <c r="W57" s="7"/>
      <c r="X57" s="1"/>
    </row>
    <row r="58" spans="1:24">
      <c r="E58" s="7"/>
      <c r="F58" s="7"/>
      <c r="H58" s="7"/>
      <c r="I58" s="7"/>
      <c r="K58" s="7"/>
      <c r="L58" s="7"/>
      <c r="M58" s="7"/>
      <c r="P58" s="7"/>
      <c r="W58" s="7"/>
      <c r="X58" s="1"/>
    </row>
    <row r="59" spans="1:24">
      <c r="E59" s="7"/>
      <c r="F59" s="7"/>
      <c r="H59" s="7"/>
      <c r="I59" s="7"/>
      <c r="K59" s="7"/>
      <c r="L59" s="7"/>
      <c r="M59" s="7"/>
      <c r="P59" s="7"/>
      <c r="W59" s="7"/>
      <c r="X59" s="1"/>
    </row>
    <row r="60" spans="1:24">
      <c r="E60" s="7"/>
      <c r="F60" s="7"/>
      <c r="H60" s="7"/>
      <c r="I60" s="7"/>
      <c r="K60" s="7"/>
      <c r="L60" s="7"/>
      <c r="M60" s="7"/>
      <c r="P60" s="7"/>
      <c r="W60" s="7"/>
      <c r="X60" s="1"/>
    </row>
    <row r="61" spans="1:24">
      <c r="E61" s="7"/>
      <c r="F61" s="7"/>
      <c r="H61" s="7"/>
      <c r="I61" s="7"/>
      <c r="K61" s="7"/>
      <c r="L61" s="7"/>
      <c r="M61" s="7"/>
      <c r="P61" s="7"/>
      <c r="W61" s="7"/>
      <c r="X61" s="1"/>
    </row>
    <row r="62" spans="1:24">
      <c r="E62" s="7"/>
      <c r="F62" s="7"/>
      <c r="H62" s="7"/>
      <c r="I62" s="7"/>
      <c r="K62" s="7"/>
      <c r="L62" s="7"/>
      <c r="M62" s="7"/>
      <c r="P62" s="7"/>
      <c r="W62" s="7"/>
      <c r="X62" s="1"/>
    </row>
    <row r="63" spans="1:24">
      <c r="E63" s="7"/>
      <c r="F63" s="7"/>
      <c r="H63" s="7"/>
      <c r="I63" s="7"/>
      <c r="K63" s="7"/>
      <c r="L63" s="7"/>
      <c r="M63" s="7"/>
      <c r="P63" s="7"/>
      <c r="W63" s="7"/>
      <c r="X63" s="1"/>
    </row>
    <row r="64" spans="1:24">
      <c r="E64" s="7"/>
      <c r="F64" s="7"/>
      <c r="H64" s="7"/>
      <c r="I64" s="7"/>
      <c r="K64" s="7"/>
      <c r="L64" s="7"/>
      <c r="M64" s="7"/>
      <c r="P64" s="7"/>
      <c r="W64" s="7"/>
      <c r="X64" s="1"/>
    </row>
    <row r="65" spans="5:24">
      <c r="E65" s="7"/>
      <c r="F65" s="7"/>
      <c r="H65" s="7"/>
      <c r="I65" s="7"/>
      <c r="K65" s="7"/>
      <c r="L65" s="7"/>
      <c r="M65" s="7"/>
      <c r="P65" s="7"/>
      <c r="W65" s="7"/>
      <c r="X65" s="1"/>
    </row>
    <row r="66" spans="5:24">
      <c r="E66" s="7"/>
      <c r="F66" s="7"/>
      <c r="H66" s="7"/>
      <c r="I66" s="7"/>
      <c r="K66" s="7"/>
      <c r="L66" s="7"/>
      <c r="M66" s="7"/>
      <c r="P66" s="7"/>
      <c r="W66" s="7"/>
      <c r="X66" s="1"/>
    </row>
    <row r="67" spans="5:24">
      <c r="E67" s="7"/>
      <c r="F67" s="7"/>
      <c r="H67" s="7"/>
      <c r="I67" s="7"/>
      <c r="K67" s="7"/>
      <c r="L67" s="7"/>
      <c r="M67" s="7"/>
      <c r="P67" s="7"/>
      <c r="W67" s="7"/>
      <c r="X67" s="1"/>
    </row>
    <row r="68" spans="5:24">
      <c r="E68" s="7"/>
      <c r="F68" s="7"/>
      <c r="H68" s="7"/>
      <c r="I68" s="7"/>
      <c r="K68" s="7"/>
      <c r="L68" s="7"/>
      <c r="M68" s="7"/>
      <c r="P68" s="7"/>
      <c r="W68" s="7"/>
      <c r="X68" s="1"/>
    </row>
    <row r="69" spans="5:24">
      <c r="E69" s="7"/>
      <c r="F69" s="7"/>
      <c r="H69" s="7"/>
      <c r="I69" s="7"/>
      <c r="K69" s="7"/>
      <c r="L69" s="7"/>
      <c r="M69" s="7"/>
      <c r="P69" s="7"/>
      <c r="W69" s="7"/>
      <c r="X69" s="1"/>
    </row>
    <row r="70" spans="5:24">
      <c r="E70" s="7"/>
      <c r="F70" s="7"/>
      <c r="H70" s="7"/>
      <c r="I70" s="7"/>
      <c r="K70" s="7"/>
      <c r="L70" s="7"/>
      <c r="M70" s="7"/>
      <c r="P70" s="7"/>
      <c r="W70" s="7"/>
      <c r="X70" s="1"/>
    </row>
    <row r="71" spans="5:24">
      <c r="E71" s="7"/>
      <c r="F71" s="7"/>
      <c r="H71" s="7"/>
      <c r="I71" s="7"/>
      <c r="K71" s="7"/>
      <c r="L71" s="7"/>
      <c r="M71" s="7"/>
      <c r="P71" s="7"/>
      <c r="W71" s="7"/>
      <c r="X71" s="1"/>
    </row>
    <row r="72" spans="5:24">
      <c r="E72" s="7"/>
      <c r="F72" s="7"/>
      <c r="H72" s="7"/>
      <c r="I72" s="7"/>
      <c r="K72" s="7"/>
      <c r="L72" s="7"/>
      <c r="M72" s="7"/>
      <c r="P72" s="7"/>
      <c r="W72" s="7"/>
      <c r="X72" s="1"/>
    </row>
    <row r="73" spans="5:24">
      <c r="E73" s="7"/>
      <c r="F73" s="7"/>
      <c r="H73" s="7"/>
      <c r="I73" s="7"/>
      <c r="K73" s="7"/>
      <c r="L73" s="7"/>
      <c r="M73" s="7"/>
      <c r="P73" s="7"/>
      <c r="W73" s="7"/>
      <c r="X73" s="1"/>
    </row>
    <row r="74" spans="5:24">
      <c r="E74" s="7"/>
      <c r="F74" s="7"/>
      <c r="H74" s="7"/>
      <c r="I74" s="7"/>
      <c r="K74" s="7"/>
      <c r="L74" s="7"/>
      <c r="M74" s="7"/>
      <c r="P74" s="7"/>
      <c r="V74" s="7"/>
      <c r="X74" s="1"/>
    </row>
    <row r="75" spans="5:24">
      <c r="E75" s="7"/>
      <c r="F75" s="7"/>
      <c r="H75" s="7"/>
      <c r="I75" s="7"/>
      <c r="K75" s="7"/>
      <c r="L75" s="7"/>
      <c r="M75" s="7"/>
      <c r="P75" s="7"/>
      <c r="W75" s="7"/>
      <c r="X75" s="1"/>
    </row>
    <row r="76" spans="5:24">
      <c r="E76" s="7"/>
      <c r="F76" s="7"/>
      <c r="H76" s="7"/>
      <c r="I76" s="7"/>
      <c r="K76" s="7"/>
      <c r="L76" s="7"/>
      <c r="M76" s="7"/>
      <c r="P76" s="7"/>
      <c r="W76" s="7"/>
      <c r="X76" s="1"/>
    </row>
    <row r="77" spans="5:24">
      <c r="E77" s="7"/>
      <c r="F77" s="7"/>
      <c r="H77" s="7"/>
      <c r="I77" s="7"/>
      <c r="K77" s="7"/>
      <c r="L77" s="7"/>
      <c r="M77" s="7"/>
      <c r="P77" s="7"/>
      <c r="W77" s="7"/>
      <c r="X7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DDCD3-AD99-CC49-9734-5A84DB89C892}">
  <dimension ref="A1:L16"/>
  <sheetViews>
    <sheetView workbookViewId="0">
      <selection activeCell="G5" sqref="G5"/>
    </sheetView>
  </sheetViews>
  <sheetFormatPr baseColWidth="10" defaultRowHeight="16"/>
  <sheetData>
    <row r="1" spans="1:12">
      <c r="A1" t="s">
        <v>0</v>
      </c>
      <c r="B1" t="s">
        <v>1</v>
      </c>
    </row>
    <row r="2" spans="1:12">
      <c r="A2" s="2">
        <v>0.54583333333333328</v>
      </c>
      <c r="B2">
        <v>0</v>
      </c>
    </row>
    <row r="3" spans="1:12">
      <c r="A3" s="2">
        <v>0.54652777777777772</v>
      </c>
      <c r="B3">
        <v>0</v>
      </c>
      <c r="C3" t="s">
        <v>10</v>
      </c>
    </row>
    <row r="5" spans="1:12">
      <c r="G5" s="5" t="s">
        <v>9</v>
      </c>
      <c r="H5">
        <v>11.507001437274255</v>
      </c>
      <c r="I5">
        <f>H5/3600</f>
        <v>3.1963892881317377E-3</v>
      </c>
    </row>
    <row r="6" spans="1:12">
      <c r="G6">
        <v>56</v>
      </c>
      <c r="H6">
        <v>7.7672259701601201</v>
      </c>
      <c r="I6">
        <f>H6/3600</f>
        <v>2.1575627694889223E-3</v>
      </c>
    </row>
    <row r="7" spans="1:12">
      <c r="G7">
        <v>46</v>
      </c>
      <c r="H7">
        <v>6.6165258264326958</v>
      </c>
      <c r="I7" s="1"/>
      <c r="J7">
        <f>H6/H7</f>
        <v>1.1739130434782608</v>
      </c>
    </row>
    <row r="9" spans="1:12">
      <c r="H9" t="s">
        <v>5</v>
      </c>
      <c r="I9" t="s">
        <v>6</v>
      </c>
      <c r="K9" t="s">
        <v>7</v>
      </c>
      <c r="L9" t="s">
        <v>8</v>
      </c>
    </row>
    <row r="10" spans="1:12">
      <c r="G10">
        <v>0.01</v>
      </c>
      <c r="H10" s="3">
        <f>G10/$I$5</f>
        <v>3.1285300689531828</v>
      </c>
      <c r="I10" s="4">
        <f t="shared" ref="I10:I16" si="0">H10/60</f>
        <v>5.2142167815886382E-2</v>
      </c>
      <c r="J10" s="3">
        <f t="shared" ref="J10:J16" si="1">H10/10</f>
        <v>0.31285300689531825</v>
      </c>
    </row>
    <row r="11" spans="1:12">
      <c r="G11">
        <v>0.03</v>
      </c>
      <c r="H11" s="3">
        <f t="shared" ref="H11:H16" si="2">G11/$I$5</f>
        <v>9.3855902068595487</v>
      </c>
      <c r="I11" s="4">
        <f t="shared" si="0"/>
        <v>0.15642650344765915</v>
      </c>
      <c r="J11" s="3">
        <f t="shared" si="1"/>
        <v>0.93855902068595487</v>
      </c>
      <c r="K11" s="3">
        <f t="shared" ref="K11:K16" si="3">J11-J10</f>
        <v>0.62570601379063662</v>
      </c>
      <c r="L11" s="4">
        <f>I11-I10</f>
        <v>0.10428433563177278</v>
      </c>
    </row>
    <row r="12" spans="1:12">
      <c r="G12">
        <v>0.1</v>
      </c>
      <c r="H12" s="3">
        <f t="shared" si="2"/>
        <v>31.28530068953183</v>
      </c>
      <c r="I12" s="4">
        <f t="shared" si="0"/>
        <v>0.52142167815886387</v>
      </c>
      <c r="J12" s="3">
        <f t="shared" si="1"/>
        <v>3.1285300689531832</v>
      </c>
      <c r="K12" s="3">
        <f t="shared" si="3"/>
        <v>2.1899710482672283</v>
      </c>
      <c r="L12" s="4">
        <f t="shared" ref="L12:L16" si="4">I12-I11</f>
        <v>0.36499517471120468</v>
      </c>
    </row>
    <row r="13" spans="1:12">
      <c r="G13">
        <v>0.3</v>
      </c>
      <c r="H13" s="3">
        <f t="shared" si="2"/>
        <v>93.855902068595483</v>
      </c>
      <c r="I13" s="4">
        <f t="shared" si="0"/>
        <v>1.5642650344765914</v>
      </c>
      <c r="J13" s="3">
        <f t="shared" si="1"/>
        <v>9.3855902068595487</v>
      </c>
      <c r="K13" s="3">
        <f t="shared" si="3"/>
        <v>6.2570601379063655</v>
      </c>
      <c r="L13" s="4">
        <f t="shared" si="4"/>
        <v>1.0428433563177275</v>
      </c>
    </row>
    <row r="14" spans="1:12">
      <c r="G14">
        <v>1</v>
      </c>
      <c r="H14" s="3">
        <f t="shared" si="2"/>
        <v>312.85300689531829</v>
      </c>
      <c r="I14" s="4">
        <f t="shared" si="0"/>
        <v>5.2142167815886378</v>
      </c>
      <c r="J14" s="3">
        <f t="shared" si="1"/>
        <v>31.28530068953183</v>
      </c>
      <c r="K14" s="3">
        <f t="shared" si="3"/>
        <v>21.899710482672283</v>
      </c>
      <c r="L14" s="4">
        <f t="shared" si="4"/>
        <v>3.6499517471120466</v>
      </c>
    </row>
    <row r="15" spans="1:12">
      <c r="G15">
        <v>3</v>
      </c>
      <c r="H15" s="3">
        <f t="shared" si="2"/>
        <v>938.55902068595481</v>
      </c>
      <c r="I15" s="4">
        <f t="shared" si="0"/>
        <v>15.642650344765913</v>
      </c>
      <c r="J15" s="3">
        <f t="shared" si="1"/>
        <v>93.855902068595483</v>
      </c>
      <c r="K15" s="3">
        <f t="shared" si="3"/>
        <v>62.570601379063653</v>
      </c>
      <c r="L15" s="4">
        <f t="shared" si="4"/>
        <v>10.428433563177276</v>
      </c>
    </row>
    <row r="16" spans="1:12">
      <c r="G16">
        <v>10</v>
      </c>
      <c r="H16" s="3">
        <f t="shared" si="2"/>
        <v>3128.5300689531828</v>
      </c>
      <c r="I16" s="4">
        <f t="shared" si="0"/>
        <v>52.142167815886381</v>
      </c>
      <c r="J16" s="3">
        <f t="shared" si="1"/>
        <v>312.85300689531829</v>
      </c>
      <c r="K16" s="3">
        <f t="shared" si="3"/>
        <v>218.99710482672282</v>
      </c>
      <c r="L16" s="4">
        <f t="shared" si="4"/>
        <v>36.49951747112047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554E2-5EEC-8A4C-8A15-AB9CF85117C7}">
  <dimension ref="A1:M26"/>
  <sheetViews>
    <sheetView workbookViewId="0">
      <selection activeCell="B15" sqref="B15"/>
    </sheetView>
  </sheetViews>
  <sheetFormatPr baseColWidth="10" defaultRowHeight="16"/>
  <sheetData>
    <row r="1" spans="1:12">
      <c r="A1" t="s">
        <v>11</v>
      </c>
      <c r="B1" t="s">
        <v>1</v>
      </c>
    </row>
    <row r="2" spans="1:12">
      <c r="A2" s="2">
        <v>0.60416666666666663</v>
      </c>
      <c r="B2">
        <v>0</v>
      </c>
    </row>
    <row r="3" spans="1:12">
      <c r="A3" s="2">
        <v>0.60486111111111107</v>
      </c>
      <c r="B3">
        <v>0</v>
      </c>
      <c r="C3" t="s">
        <v>10</v>
      </c>
    </row>
    <row r="4" spans="1:12">
      <c r="A4" s="2">
        <v>0.60763888888888884</v>
      </c>
      <c r="B4">
        <v>0</v>
      </c>
    </row>
    <row r="5" spans="1:12">
      <c r="A5" s="1">
        <v>0.60765046296296299</v>
      </c>
      <c r="B5">
        <v>80</v>
      </c>
      <c r="G5" s="5" t="s">
        <v>9</v>
      </c>
      <c r="H5">
        <v>11.507001437274255</v>
      </c>
      <c r="I5">
        <f>H5/3600</f>
        <v>3.1963892881317377E-3</v>
      </c>
    </row>
    <row r="6" spans="1:12">
      <c r="A6" s="1">
        <v>0.60776620370370371</v>
      </c>
      <c r="B6">
        <v>80</v>
      </c>
      <c r="G6">
        <v>56</v>
      </c>
      <c r="H6">
        <v>7.7672259701601201</v>
      </c>
      <c r="I6">
        <f>H6/3600</f>
        <v>2.1575627694889223E-3</v>
      </c>
    </row>
    <row r="7" spans="1:12">
      <c r="A7" s="1">
        <v>0.60777777777777775</v>
      </c>
      <c r="B7">
        <v>0</v>
      </c>
      <c r="G7">
        <v>46</v>
      </c>
      <c r="H7">
        <v>6.6165258264326958</v>
      </c>
      <c r="I7" s="1"/>
      <c r="J7">
        <f>H6/H7</f>
        <v>1.1739130434782608</v>
      </c>
    </row>
    <row r="8" spans="1:12">
      <c r="A8" s="1">
        <v>0.60986111111111108</v>
      </c>
      <c r="B8">
        <v>0</v>
      </c>
    </row>
    <row r="9" spans="1:12">
      <c r="A9" s="1">
        <v>0.60987268518518523</v>
      </c>
      <c r="B9">
        <v>80</v>
      </c>
      <c r="H9" t="s">
        <v>5</v>
      </c>
      <c r="I9" t="s">
        <v>6</v>
      </c>
      <c r="K9" t="s">
        <v>7</v>
      </c>
      <c r="L9" t="s">
        <v>8</v>
      </c>
    </row>
    <row r="10" spans="1:12">
      <c r="A10" s="1">
        <v>0.61010416666666667</v>
      </c>
      <c r="B10">
        <v>80</v>
      </c>
      <c r="G10">
        <v>0.01</v>
      </c>
      <c r="H10" s="3">
        <f>G10/$I$5</f>
        <v>3.1285300689531828</v>
      </c>
      <c r="I10" s="4">
        <f t="shared" ref="I10:I16" si="0">H10/60</f>
        <v>5.2142167815886382E-2</v>
      </c>
      <c r="J10" s="3">
        <f t="shared" ref="J10:J16" si="1">H10/10</f>
        <v>0.31285300689531825</v>
      </c>
    </row>
    <row r="11" spans="1:12">
      <c r="A11" s="1">
        <v>0.61011574074074071</v>
      </c>
      <c r="B11">
        <v>0</v>
      </c>
      <c r="G11">
        <v>0.03</v>
      </c>
      <c r="H11" s="3">
        <f t="shared" ref="H11:H16" si="2">G11/$I$5</f>
        <v>9.3855902068595487</v>
      </c>
      <c r="I11" s="4">
        <f t="shared" si="0"/>
        <v>0.15642650344765915</v>
      </c>
      <c r="J11" s="3">
        <f t="shared" si="1"/>
        <v>0.93855902068595487</v>
      </c>
      <c r="K11" s="3">
        <f t="shared" ref="K11:K16" si="3">J11-J10</f>
        <v>0.62570601379063662</v>
      </c>
      <c r="L11" s="4">
        <f>I11-I10</f>
        <v>0.10428433563177278</v>
      </c>
    </row>
    <row r="12" spans="1:12">
      <c r="A12" s="2">
        <v>0.61219907407407403</v>
      </c>
      <c r="B12">
        <v>0</v>
      </c>
      <c r="G12">
        <v>0.1</v>
      </c>
      <c r="H12" s="3">
        <f t="shared" si="2"/>
        <v>31.28530068953183</v>
      </c>
      <c r="I12" s="4">
        <f t="shared" si="0"/>
        <v>0.52142167815886387</v>
      </c>
      <c r="J12" s="3">
        <f t="shared" si="1"/>
        <v>3.1285300689531832</v>
      </c>
      <c r="K12" s="3">
        <f t="shared" si="3"/>
        <v>2.1899710482672283</v>
      </c>
      <c r="L12" s="4">
        <f t="shared" ref="L12:L16" si="4">I12-I11</f>
        <v>0.36499517471120468</v>
      </c>
    </row>
    <row r="13" spans="1:12">
      <c r="A13" s="1">
        <v>0.61221064814814818</v>
      </c>
      <c r="B13">
        <v>80</v>
      </c>
      <c r="G13">
        <v>0.3</v>
      </c>
      <c r="H13" s="3">
        <f t="shared" si="2"/>
        <v>93.855902068595483</v>
      </c>
      <c r="I13" s="4">
        <f t="shared" si="0"/>
        <v>1.5642650344765914</v>
      </c>
      <c r="J13" s="3">
        <f t="shared" si="1"/>
        <v>9.3855902068595487</v>
      </c>
      <c r="K13" s="3">
        <f t="shared" si="3"/>
        <v>6.2570601379063655</v>
      </c>
      <c r="L13" s="4">
        <f t="shared" si="4"/>
        <v>1.0428433563177275</v>
      </c>
    </row>
    <row r="14" spans="1:12">
      <c r="A14" s="1">
        <v>0.61222222222222222</v>
      </c>
      <c r="B14">
        <v>80</v>
      </c>
      <c r="G14">
        <v>1</v>
      </c>
      <c r="H14" s="3">
        <f t="shared" si="2"/>
        <v>312.85300689531829</v>
      </c>
      <c r="I14" s="4">
        <f t="shared" si="0"/>
        <v>5.2142167815886378</v>
      </c>
      <c r="J14" s="3">
        <f t="shared" si="1"/>
        <v>31.28530068953183</v>
      </c>
      <c r="K14" s="3">
        <f t="shared" si="3"/>
        <v>21.899710482672283</v>
      </c>
      <c r="L14" s="4">
        <f t="shared" si="4"/>
        <v>3.6499517471120466</v>
      </c>
    </row>
    <row r="15" spans="1:12">
      <c r="A15" s="1">
        <v>0.61291666666666667</v>
      </c>
      <c r="B15">
        <v>0</v>
      </c>
      <c r="G15">
        <v>3</v>
      </c>
      <c r="H15" s="3">
        <f t="shared" si="2"/>
        <v>938.55902068595481</v>
      </c>
      <c r="I15" s="4">
        <f t="shared" si="0"/>
        <v>15.642650344765913</v>
      </c>
      <c r="J15" s="3">
        <f t="shared" si="1"/>
        <v>93.855902068595483</v>
      </c>
      <c r="K15" s="3">
        <f t="shared" si="3"/>
        <v>62.570601379063653</v>
      </c>
      <c r="L15" s="4">
        <f t="shared" si="4"/>
        <v>10.428433563177276</v>
      </c>
    </row>
    <row r="16" spans="1:12">
      <c r="A16" s="1">
        <v>0.6129282407407407</v>
      </c>
      <c r="B16">
        <v>0</v>
      </c>
      <c r="G16">
        <v>10</v>
      </c>
      <c r="H16" s="3">
        <f t="shared" si="2"/>
        <v>3128.5300689531828</v>
      </c>
      <c r="I16" s="4">
        <f t="shared" si="0"/>
        <v>52.142167815886381</v>
      </c>
      <c r="J16" s="3">
        <f t="shared" si="1"/>
        <v>312.85300689531829</v>
      </c>
      <c r="K16" s="3">
        <f t="shared" si="3"/>
        <v>218.99710482672282</v>
      </c>
      <c r="L16" s="4">
        <f t="shared" si="4"/>
        <v>36.49951747112047</v>
      </c>
    </row>
    <row r="20" spans="1:13">
      <c r="G20" t="s">
        <v>12</v>
      </c>
      <c r="M20" t="s">
        <v>13</v>
      </c>
    </row>
    <row r="22" spans="1:13">
      <c r="A22" s="1">
        <v>0.61630787037037038</v>
      </c>
      <c r="B22">
        <v>0</v>
      </c>
    </row>
    <row r="23" spans="1:13">
      <c r="A23" s="1">
        <v>0.61631944444444442</v>
      </c>
      <c r="B23">
        <v>80</v>
      </c>
    </row>
    <row r="24" spans="1:13">
      <c r="A24" s="1">
        <v>0.61875000000000002</v>
      </c>
      <c r="B24">
        <v>80</v>
      </c>
    </row>
    <row r="25" spans="1:13">
      <c r="A25" s="2">
        <v>0.61876157407407406</v>
      </c>
      <c r="B25">
        <v>0</v>
      </c>
    </row>
    <row r="26" spans="1:13">
      <c r="A26" s="2">
        <v>0.62083333333333335</v>
      </c>
      <c r="B26">
        <v>0</v>
      </c>
      <c r="C26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7A064-C7CC-BF45-BA78-5AEA5FD2C5DF}">
  <dimension ref="A1:O25"/>
  <sheetViews>
    <sheetView workbookViewId="0">
      <selection activeCell="A5" sqref="A5"/>
    </sheetView>
  </sheetViews>
  <sheetFormatPr baseColWidth="10" defaultRowHeight="16"/>
  <sheetData>
    <row r="1" spans="1:15">
      <c r="A1" t="s">
        <v>11</v>
      </c>
      <c r="B1" t="s">
        <v>1</v>
      </c>
    </row>
    <row r="2" spans="1:15">
      <c r="A2" s="2">
        <v>0.67847222222222225</v>
      </c>
      <c r="B2">
        <v>0</v>
      </c>
    </row>
    <row r="3" spans="1:15">
      <c r="A3" s="2">
        <v>0.6791666666666667</v>
      </c>
      <c r="B3">
        <v>0</v>
      </c>
      <c r="C3" t="s">
        <v>10</v>
      </c>
    </row>
    <row r="4" spans="1:15">
      <c r="A4" s="2">
        <v>0.64375000000000004</v>
      </c>
      <c r="B4">
        <v>0</v>
      </c>
    </row>
    <row r="5" spans="1:15">
      <c r="A5" s="1">
        <v>0.64376157407407408</v>
      </c>
      <c r="B5">
        <v>80</v>
      </c>
      <c r="G5" s="5" t="s">
        <v>9</v>
      </c>
      <c r="H5">
        <v>11.507001437274255</v>
      </c>
      <c r="I5">
        <f>H5/3600</f>
        <v>3.1963892881317377E-3</v>
      </c>
    </row>
    <row r="6" spans="1:15">
      <c r="A6" s="1">
        <v>0.64387731481481481</v>
      </c>
      <c r="B6">
        <v>80</v>
      </c>
      <c r="C6">
        <v>0.03</v>
      </c>
      <c r="G6">
        <v>50</v>
      </c>
      <c r="H6">
        <v>7.1918758982964075</v>
      </c>
      <c r="I6">
        <f>H6/3600</f>
        <v>1.9977433050823354E-3</v>
      </c>
    </row>
    <row r="7" spans="1:15">
      <c r="A7" s="1">
        <v>0.64388888888888884</v>
      </c>
      <c r="B7">
        <v>0</v>
      </c>
      <c r="I7" s="1"/>
    </row>
    <row r="8" spans="1:15">
      <c r="A8" s="1">
        <v>0.6464699074074074</v>
      </c>
      <c r="B8">
        <v>0</v>
      </c>
    </row>
    <row r="9" spans="1:15">
      <c r="A9" s="1">
        <v>0.64648148148148143</v>
      </c>
      <c r="B9">
        <v>80</v>
      </c>
      <c r="H9" t="s">
        <v>5</v>
      </c>
      <c r="I9" t="s">
        <v>6</v>
      </c>
      <c r="K9" t="s">
        <v>7</v>
      </c>
      <c r="L9" t="s">
        <v>8</v>
      </c>
    </row>
    <row r="10" spans="1:15">
      <c r="A10" s="1">
        <v>0.64671296296296299</v>
      </c>
      <c r="B10">
        <v>80</v>
      </c>
      <c r="C10">
        <v>0.1</v>
      </c>
      <c r="G10">
        <v>0.01</v>
      </c>
      <c r="H10" s="3">
        <f>G10/$I$6</f>
        <v>5.0056481103250938</v>
      </c>
      <c r="I10" s="4">
        <f t="shared" ref="I10:I16" si="0">H10/60</f>
        <v>8.3427468505418226E-2</v>
      </c>
      <c r="J10" s="3">
        <f t="shared" ref="J10:J16" si="1">H10/10</f>
        <v>0.50056481103250938</v>
      </c>
    </row>
    <row r="11" spans="1:15">
      <c r="A11" s="1">
        <v>0.64672453703703703</v>
      </c>
      <c r="B11">
        <v>0</v>
      </c>
      <c r="G11">
        <v>0.03</v>
      </c>
      <c r="H11" s="3">
        <f t="shared" ref="H11:H16" si="2">G11/$I$6</f>
        <v>15.016944330975281</v>
      </c>
      <c r="I11" s="4">
        <f t="shared" si="0"/>
        <v>0.25028240551625469</v>
      </c>
      <c r="J11" s="3">
        <f t="shared" si="1"/>
        <v>1.5016944330975281</v>
      </c>
      <c r="K11" s="3">
        <f>J11-J10</f>
        <v>1.0011296220650188</v>
      </c>
      <c r="L11" s="4">
        <f>I11-I10</f>
        <v>0.16685493701083648</v>
      </c>
    </row>
    <row r="12" spans="1:15">
      <c r="A12" s="1">
        <v>0.64880787037037035</v>
      </c>
      <c r="B12">
        <v>0</v>
      </c>
      <c r="G12">
        <v>0.1</v>
      </c>
      <c r="H12" s="3">
        <f t="shared" si="2"/>
        <v>50.056481103250945</v>
      </c>
      <c r="I12" s="4">
        <f t="shared" si="0"/>
        <v>0.83427468505418245</v>
      </c>
      <c r="J12" s="3">
        <f t="shared" si="1"/>
        <v>5.0056481103250947</v>
      </c>
      <c r="K12" s="3">
        <f>J12-J11</f>
        <v>3.5039536772275666</v>
      </c>
      <c r="L12" s="4">
        <f t="shared" ref="L12:L16" si="3">I12-I11</f>
        <v>0.58399227953792776</v>
      </c>
      <c r="N12" s="1">
        <v>0.78749999999999998</v>
      </c>
      <c r="O12">
        <v>0</v>
      </c>
    </row>
    <row r="13" spans="1:15">
      <c r="A13" s="1">
        <v>0.64881944444444439</v>
      </c>
      <c r="B13">
        <v>80</v>
      </c>
      <c r="G13">
        <v>0.3</v>
      </c>
      <c r="H13" s="3">
        <f t="shared" si="2"/>
        <v>150.16944330975281</v>
      </c>
      <c r="I13" s="4">
        <f t="shared" si="0"/>
        <v>2.5028240551625469</v>
      </c>
      <c r="J13" s="3">
        <f t="shared" si="1"/>
        <v>15.016944330975281</v>
      </c>
      <c r="K13" s="3">
        <f t="shared" ref="K13:K16" si="4">J13-J12</f>
        <v>10.011296220650188</v>
      </c>
      <c r="L13" s="4">
        <f t="shared" si="3"/>
        <v>1.6685493701083645</v>
      </c>
      <c r="N13" s="1">
        <v>0.7895833333333333</v>
      </c>
      <c r="O13">
        <v>0</v>
      </c>
    </row>
    <row r="14" spans="1:15">
      <c r="A14" s="1">
        <v>0.64951388888888884</v>
      </c>
      <c r="B14">
        <v>80</v>
      </c>
      <c r="C14">
        <v>0.3</v>
      </c>
      <c r="G14">
        <v>1</v>
      </c>
      <c r="H14" s="3">
        <f t="shared" si="2"/>
        <v>500.5648110325094</v>
      </c>
      <c r="I14" s="4">
        <f t="shared" si="0"/>
        <v>8.3427468505418236</v>
      </c>
      <c r="J14" s="3">
        <f t="shared" si="1"/>
        <v>50.056481103250938</v>
      </c>
      <c r="K14" s="3">
        <f t="shared" si="4"/>
        <v>35.039536772275653</v>
      </c>
      <c r="L14" s="4">
        <f t="shared" si="3"/>
        <v>5.8399227953792767</v>
      </c>
      <c r="N14" s="1">
        <v>0.78959490740740745</v>
      </c>
      <c r="O14">
        <v>50</v>
      </c>
    </row>
    <row r="15" spans="1:15">
      <c r="A15" s="2">
        <v>0.64952546296296299</v>
      </c>
      <c r="B15">
        <v>0</v>
      </c>
      <c r="G15">
        <v>3</v>
      </c>
      <c r="H15" s="3">
        <f t="shared" si="2"/>
        <v>1501.6944330975282</v>
      </c>
      <c r="I15" s="4">
        <f t="shared" si="0"/>
        <v>25.028240551625469</v>
      </c>
      <c r="J15" s="3">
        <f t="shared" si="1"/>
        <v>150.16944330975281</v>
      </c>
      <c r="K15" s="3">
        <f t="shared" si="4"/>
        <v>100.11296220650186</v>
      </c>
      <c r="L15" s="4">
        <f t="shared" si="3"/>
        <v>16.685493701083644</v>
      </c>
      <c r="N15" s="1">
        <v>0.79363425925925923</v>
      </c>
      <c r="O15">
        <v>50</v>
      </c>
    </row>
    <row r="16" spans="1:15">
      <c r="A16" s="1">
        <v>0.65160879629629631</v>
      </c>
      <c r="B16">
        <v>0</v>
      </c>
      <c r="G16">
        <v>10</v>
      </c>
      <c r="H16" s="3">
        <f t="shared" si="2"/>
        <v>5005.6481103250935</v>
      </c>
      <c r="I16" s="4">
        <f t="shared" si="0"/>
        <v>83.427468505418219</v>
      </c>
      <c r="J16" s="3">
        <f t="shared" si="1"/>
        <v>500.56481103250934</v>
      </c>
      <c r="K16" s="3">
        <f t="shared" si="4"/>
        <v>350.39536772275653</v>
      </c>
      <c r="L16" s="4">
        <f t="shared" si="3"/>
        <v>58.399227953792746</v>
      </c>
      <c r="N16" s="1">
        <v>0.79364583333333338</v>
      </c>
      <c r="O16">
        <v>0</v>
      </c>
    </row>
    <row r="17" spans="1:15">
      <c r="A17" s="1">
        <v>0.65162037037037035</v>
      </c>
      <c r="B17">
        <v>80</v>
      </c>
      <c r="N17" s="1">
        <v>0.79572916666666671</v>
      </c>
      <c r="O17">
        <v>0</v>
      </c>
    </row>
    <row r="18" spans="1:15">
      <c r="A18" s="1">
        <v>0.65416666666666667</v>
      </c>
      <c r="B18">
        <v>80</v>
      </c>
      <c r="C18">
        <v>1</v>
      </c>
      <c r="N18" s="1">
        <v>0.79574074074074075</v>
      </c>
      <c r="O18">
        <v>50</v>
      </c>
    </row>
    <row r="19" spans="1:15">
      <c r="A19" s="1">
        <v>0.65417824074074071</v>
      </c>
      <c r="B19">
        <v>0</v>
      </c>
      <c r="N19" s="1">
        <v>0.80729166666666663</v>
      </c>
      <c r="O19">
        <v>50</v>
      </c>
    </row>
    <row r="20" spans="1:15">
      <c r="A20" s="1">
        <v>0.61481481481481481</v>
      </c>
      <c r="B20">
        <v>0</v>
      </c>
      <c r="N20" s="1">
        <v>0.80730324074074078</v>
      </c>
      <c r="O20">
        <v>0</v>
      </c>
    </row>
    <row r="21" spans="1:15">
      <c r="A21" s="1">
        <v>0.65649305555555559</v>
      </c>
      <c r="B21">
        <v>80</v>
      </c>
      <c r="N21" s="1">
        <v>0.80938657407407411</v>
      </c>
      <c r="O21">
        <v>0</v>
      </c>
    </row>
    <row r="22" spans="1:15">
      <c r="A22" s="2">
        <v>0.66388888888888886</v>
      </c>
      <c r="B22">
        <v>80</v>
      </c>
      <c r="C22">
        <v>3</v>
      </c>
      <c r="N22" s="1">
        <v>0.80939814814814814</v>
      </c>
      <c r="O22">
        <v>50</v>
      </c>
    </row>
    <row r="23" spans="1:15">
      <c r="A23" s="1">
        <v>0.66390046296296301</v>
      </c>
      <c r="B23">
        <v>0</v>
      </c>
      <c r="N23" s="1">
        <v>0.82049768518518518</v>
      </c>
      <c r="O23">
        <v>50</v>
      </c>
    </row>
    <row r="24" spans="1:15">
      <c r="A24" s="1">
        <v>0.66597222222222219</v>
      </c>
      <c r="B24">
        <v>0</v>
      </c>
    </row>
    <row r="25" spans="1:15">
      <c r="A25" s="1">
        <v>0.66598379629629634</v>
      </c>
      <c r="B25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2FF22-428C-7E46-A028-89697E794633}">
  <dimension ref="A1:I72"/>
  <sheetViews>
    <sheetView workbookViewId="0">
      <selection activeCell="A4" sqref="A4"/>
    </sheetView>
  </sheetViews>
  <sheetFormatPr baseColWidth="10" defaultRowHeight="16"/>
  <sheetData>
    <row r="1" spans="1:9">
      <c r="A1" t="s">
        <v>11</v>
      </c>
      <c r="B1" t="s">
        <v>1</v>
      </c>
    </row>
    <row r="2" spans="1:9">
      <c r="A2" s="2">
        <v>0.69155092592592593</v>
      </c>
      <c r="B2">
        <v>0</v>
      </c>
    </row>
    <row r="3" spans="1:9">
      <c r="A3" s="1">
        <v>0.69530092592592596</v>
      </c>
      <c r="B3">
        <v>0</v>
      </c>
    </row>
    <row r="4" spans="1:9">
      <c r="A4" s="2">
        <v>0.6953125</v>
      </c>
      <c r="B4">
        <v>44</v>
      </c>
    </row>
    <row r="5" spans="1:9">
      <c r="A5" s="2">
        <v>0.69729166666666664</v>
      </c>
      <c r="B5">
        <v>44</v>
      </c>
      <c r="C5" t="s">
        <v>16</v>
      </c>
      <c r="H5">
        <v>6.3288507905008391</v>
      </c>
      <c r="I5" t="s">
        <v>3</v>
      </c>
    </row>
    <row r="6" spans="1:9">
      <c r="A6" s="1">
        <v>0.69730324074074079</v>
      </c>
      <c r="B6">
        <v>0</v>
      </c>
      <c r="H6">
        <f>H5/60</f>
        <v>0.10548084650834731</v>
      </c>
      <c r="I6" t="s">
        <v>15</v>
      </c>
    </row>
    <row r="7" spans="1:9">
      <c r="A7" s="1">
        <v>0.6995717592592593</v>
      </c>
      <c r="B7">
        <v>0</v>
      </c>
      <c r="H7">
        <f>H6/60</f>
        <v>1.7580141084724552E-3</v>
      </c>
    </row>
    <row r="8" spans="1:9">
      <c r="A8" s="1">
        <v>0.69958333333333333</v>
      </c>
      <c r="B8">
        <v>44</v>
      </c>
    </row>
    <row r="9" spans="1:9">
      <c r="A9" s="1">
        <v>0.70182870370370365</v>
      </c>
      <c r="B9">
        <v>44</v>
      </c>
    </row>
    <row r="10" spans="1:9">
      <c r="A10" s="1">
        <v>0.7018402777777778</v>
      </c>
      <c r="B10">
        <v>0</v>
      </c>
    </row>
    <row r="11" spans="1:9">
      <c r="A11" s="1">
        <v>0.70398148148148143</v>
      </c>
      <c r="B11">
        <v>0</v>
      </c>
    </row>
    <row r="12" spans="1:9">
      <c r="A12" s="1">
        <v>0.70399305555555558</v>
      </c>
      <c r="B12">
        <v>44</v>
      </c>
    </row>
    <row r="13" spans="1:9">
      <c r="A13" s="1">
        <v>0.70609953703703698</v>
      </c>
      <c r="B13">
        <v>44</v>
      </c>
      <c r="F13" s="1"/>
    </row>
    <row r="14" spans="1:9">
      <c r="A14" s="1">
        <v>0.70611111111111113</v>
      </c>
      <c r="B14">
        <v>0</v>
      </c>
    </row>
    <row r="15" spans="1:9">
      <c r="A15" s="1">
        <v>0.70825231481481477</v>
      </c>
      <c r="B15">
        <v>0</v>
      </c>
    </row>
    <row r="16" spans="1:9">
      <c r="A16" s="1">
        <v>0.70826388888888892</v>
      </c>
      <c r="B16">
        <v>44</v>
      </c>
    </row>
    <row r="17" spans="1:3">
      <c r="A17" s="1">
        <v>0.71037037037037032</v>
      </c>
      <c r="B17">
        <v>44</v>
      </c>
      <c r="C17">
        <f>12*H6</f>
        <v>1.2657701581001677</v>
      </c>
    </row>
    <row r="18" spans="1:3">
      <c r="A18" s="1">
        <v>0.71038194444444447</v>
      </c>
      <c r="B18">
        <v>0</v>
      </c>
    </row>
    <row r="19" spans="1:3">
      <c r="A19" s="1">
        <v>0.71250000000000002</v>
      </c>
      <c r="B19">
        <v>0</v>
      </c>
    </row>
    <row r="20" spans="1:3">
      <c r="A20" s="1">
        <v>0.71251157407407406</v>
      </c>
      <c r="B20">
        <v>44</v>
      </c>
    </row>
    <row r="21" spans="1:3">
      <c r="A21" s="1">
        <v>0.71462962962962961</v>
      </c>
      <c r="B21">
        <v>44</v>
      </c>
    </row>
    <row r="22" spans="1:3">
      <c r="A22" s="1">
        <v>0.71464120370370365</v>
      </c>
      <c r="B22">
        <v>0</v>
      </c>
    </row>
    <row r="23" spans="1:3">
      <c r="A23" s="1">
        <v>0.7167824074074074</v>
      </c>
      <c r="B23">
        <v>0</v>
      </c>
    </row>
    <row r="24" spans="1:3">
      <c r="A24" s="1">
        <v>0.71679398148148143</v>
      </c>
      <c r="B24">
        <v>44</v>
      </c>
    </row>
    <row r="25" spans="1:3">
      <c r="A25" s="1">
        <v>0.71890046296296295</v>
      </c>
      <c r="B25">
        <v>44</v>
      </c>
    </row>
    <row r="26" spans="1:3">
      <c r="A26" s="1">
        <v>0.71891203703703699</v>
      </c>
      <c r="B26">
        <v>0</v>
      </c>
    </row>
    <row r="27" spans="1:3">
      <c r="A27" s="1">
        <v>0.72116898148148145</v>
      </c>
      <c r="B27">
        <v>0</v>
      </c>
    </row>
    <row r="28" spans="1:3">
      <c r="A28" s="1">
        <v>0.7211805555555556</v>
      </c>
      <c r="B28">
        <v>44</v>
      </c>
    </row>
    <row r="29" spans="1:3">
      <c r="A29" s="1">
        <v>0.72331018518518519</v>
      </c>
      <c r="B29">
        <v>44</v>
      </c>
    </row>
    <row r="30" spans="1:3">
      <c r="A30" s="1">
        <v>0.72332175925925923</v>
      </c>
      <c r="B30">
        <v>0</v>
      </c>
    </row>
    <row r="31" spans="1:3">
      <c r="A31" s="1">
        <v>0.72545138888888894</v>
      </c>
      <c r="B31">
        <v>0</v>
      </c>
    </row>
    <row r="32" spans="1:3">
      <c r="A32" s="1">
        <v>0.72546296296296298</v>
      </c>
      <c r="B32">
        <v>44</v>
      </c>
    </row>
    <row r="33" spans="1:3">
      <c r="A33" s="1">
        <v>0.72758101851851853</v>
      </c>
      <c r="B33">
        <v>44</v>
      </c>
      <c r="C33">
        <f>8*3*H6</f>
        <v>2.5315403162003354</v>
      </c>
    </row>
    <row r="34" spans="1:3">
      <c r="A34" s="1">
        <v>0.72760416666666672</v>
      </c>
      <c r="B34">
        <v>0</v>
      </c>
    </row>
    <row r="35" spans="1:3">
      <c r="A35" s="1">
        <v>0.72972222222222227</v>
      </c>
      <c r="B35">
        <v>0</v>
      </c>
    </row>
    <row r="36" spans="1:3">
      <c r="A36" s="1">
        <v>0.72973379629629631</v>
      </c>
      <c r="B36">
        <v>44</v>
      </c>
    </row>
    <row r="37" spans="1:3">
      <c r="A37" s="1">
        <v>0.73199074074074078</v>
      </c>
      <c r="B37">
        <v>44</v>
      </c>
    </row>
    <row r="38" spans="1:3">
      <c r="A38" s="1">
        <v>0.73200231481481481</v>
      </c>
      <c r="B38">
        <v>0</v>
      </c>
    </row>
    <row r="39" spans="1:3">
      <c r="A39" s="1">
        <v>0.73413194444444441</v>
      </c>
      <c r="B39">
        <v>0</v>
      </c>
    </row>
    <row r="40" spans="1:3">
      <c r="A40" s="1">
        <v>0.73414351851851856</v>
      </c>
      <c r="B40">
        <v>44</v>
      </c>
    </row>
    <row r="41" spans="1:3">
      <c r="A41" s="1">
        <v>0.73637731481481483</v>
      </c>
      <c r="B41">
        <v>44</v>
      </c>
    </row>
    <row r="42" spans="1:3">
      <c r="A42" s="1">
        <v>0.73638888888888887</v>
      </c>
      <c r="B42">
        <v>0</v>
      </c>
    </row>
    <row r="43" spans="1:3">
      <c r="A43" s="1">
        <v>0.73854166666666665</v>
      </c>
      <c r="B43">
        <v>0</v>
      </c>
    </row>
    <row r="44" spans="1:3">
      <c r="A44" s="2">
        <v>0.73866898148148152</v>
      </c>
      <c r="B44">
        <v>44</v>
      </c>
    </row>
    <row r="45" spans="1:3">
      <c r="A45" s="1">
        <v>0.74065972222222221</v>
      </c>
      <c r="B45">
        <v>44</v>
      </c>
    </row>
    <row r="46" spans="1:3">
      <c r="A46" s="1">
        <v>0.74067129629629624</v>
      </c>
      <c r="B46">
        <v>0</v>
      </c>
    </row>
    <row r="47" spans="1:3">
      <c r="A47" s="1">
        <v>0.74281249999999999</v>
      </c>
      <c r="B47">
        <v>0</v>
      </c>
    </row>
    <row r="48" spans="1:3">
      <c r="A48" s="1">
        <v>0.74282407407407403</v>
      </c>
      <c r="B48">
        <v>44</v>
      </c>
    </row>
    <row r="49" spans="1:3">
      <c r="A49" s="1">
        <v>0.74494212962962958</v>
      </c>
      <c r="B49">
        <v>44</v>
      </c>
      <c r="C49">
        <f>12*3*H6</f>
        <v>3.7973104743005033</v>
      </c>
    </row>
    <row r="50" spans="1:3">
      <c r="A50" s="1">
        <v>0.74495370370370373</v>
      </c>
      <c r="B50">
        <v>0</v>
      </c>
    </row>
    <row r="51" spans="1:3">
      <c r="A51" s="1">
        <v>0.74708333333333332</v>
      </c>
      <c r="B51">
        <v>0</v>
      </c>
    </row>
    <row r="52" spans="1:3">
      <c r="A52" s="1">
        <v>0.74709490740740736</v>
      </c>
      <c r="B52">
        <v>44</v>
      </c>
    </row>
    <row r="53" spans="1:3">
      <c r="A53" s="1">
        <v>0.74921296296296291</v>
      </c>
      <c r="B53">
        <v>44</v>
      </c>
    </row>
    <row r="54" spans="1:3">
      <c r="A54" s="1">
        <v>0.74922453703703706</v>
      </c>
      <c r="B54">
        <v>0</v>
      </c>
    </row>
    <row r="55" spans="1:3">
      <c r="A55" s="1">
        <v>0.7513657407407407</v>
      </c>
      <c r="B55">
        <v>0</v>
      </c>
    </row>
    <row r="56" spans="1:3">
      <c r="A56" s="1">
        <v>0.75137731481481485</v>
      </c>
      <c r="B56">
        <v>44</v>
      </c>
    </row>
    <row r="57" spans="1:3">
      <c r="A57" s="1">
        <v>0.7534953703703704</v>
      </c>
      <c r="B57">
        <v>44</v>
      </c>
    </row>
    <row r="58" spans="1:3">
      <c r="A58" s="1">
        <v>0.75350694444444444</v>
      </c>
      <c r="B58">
        <v>0</v>
      </c>
    </row>
    <row r="59" spans="1:3">
      <c r="A59" s="1">
        <v>0.75565972222222222</v>
      </c>
      <c r="B59">
        <v>0</v>
      </c>
    </row>
    <row r="60" spans="1:3">
      <c r="A60" s="2">
        <v>0.75567129629629626</v>
      </c>
      <c r="B60">
        <v>44</v>
      </c>
    </row>
    <row r="61" spans="1:3">
      <c r="A61" s="1">
        <v>0.75791666666666668</v>
      </c>
      <c r="B61">
        <v>44</v>
      </c>
    </row>
    <row r="62" spans="1:3">
      <c r="A62" s="1">
        <v>0.75792824074074072</v>
      </c>
      <c r="B62">
        <v>0</v>
      </c>
    </row>
    <row r="63" spans="1:3">
      <c r="A63" s="1">
        <v>0.75979166666666664</v>
      </c>
      <c r="B63">
        <v>0</v>
      </c>
    </row>
    <row r="64" spans="1:3">
      <c r="A64" s="1">
        <v>0.75980324074074079</v>
      </c>
      <c r="B64">
        <v>44</v>
      </c>
    </row>
    <row r="65" spans="1:3">
      <c r="A65" s="1">
        <v>0.76204861111111111</v>
      </c>
      <c r="B65">
        <v>44</v>
      </c>
      <c r="C65">
        <f>16*3*H6</f>
        <v>5.0630806324006707</v>
      </c>
    </row>
    <row r="66" spans="1:3">
      <c r="A66" s="1">
        <v>0.76206018518518515</v>
      </c>
      <c r="B66">
        <v>0</v>
      </c>
    </row>
    <row r="67" spans="1:3">
      <c r="A67" s="1">
        <v>0.76689814814814816</v>
      </c>
      <c r="B67">
        <v>0</v>
      </c>
    </row>
    <row r="68" spans="1:3">
      <c r="A68" s="1"/>
    </row>
    <row r="69" spans="1:3">
      <c r="A69" s="1"/>
    </row>
    <row r="70" spans="1:3">
      <c r="A70" s="1"/>
    </row>
    <row r="71" spans="1:3">
      <c r="A71" s="1"/>
    </row>
    <row r="72" spans="1:3">
      <c r="A72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5B69F-4BD7-B545-A7CD-86980D4FCEB5}">
  <dimension ref="A1:Q346"/>
  <sheetViews>
    <sheetView topLeftCell="A7" zoomScale="125" workbookViewId="0">
      <selection activeCell="A25" sqref="A25"/>
    </sheetView>
  </sheetViews>
  <sheetFormatPr baseColWidth="10" defaultRowHeight="16"/>
  <sheetData>
    <row r="1" spans="1:17">
      <c r="A1" t="s">
        <v>11</v>
      </c>
      <c r="B1" t="s">
        <v>1</v>
      </c>
    </row>
    <row r="2" spans="1:17">
      <c r="A2" s="1">
        <v>0.77726851851851853</v>
      </c>
      <c r="B2" s="3">
        <v>0</v>
      </c>
      <c r="D2" s="1">
        <v>0.77726851851851853</v>
      </c>
      <c r="E2" s="1">
        <v>0.77847222222222223</v>
      </c>
    </row>
    <row r="3" spans="1:17">
      <c r="A3" s="1">
        <v>0.78112268518518524</v>
      </c>
      <c r="B3" s="3">
        <v>0</v>
      </c>
      <c r="C3" t="s">
        <v>10</v>
      </c>
      <c r="D3" s="1">
        <v>0.78123842592592596</v>
      </c>
      <c r="E3" s="1">
        <v>0.78240740740740744</v>
      </c>
    </row>
    <row r="4" spans="1:17">
      <c r="A4" s="1">
        <v>0.78113425925925928</v>
      </c>
      <c r="B4" s="3">
        <v>50</v>
      </c>
      <c r="D4" s="1">
        <v>0.78122685185185181</v>
      </c>
      <c r="E4" s="1">
        <v>0.78243055555555552</v>
      </c>
    </row>
    <row r="5" spans="1:17">
      <c r="A5" s="1">
        <v>0.78137731481481476</v>
      </c>
      <c r="B5" s="3">
        <v>50</v>
      </c>
      <c r="D5" s="1">
        <v>0.78137731481481476</v>
      </c>
      <c r="E5" s="1">
        <v>0.78256944444444443</v>
      </c>
      <c r="G5" s="5" t="s">
        <v>9</v>
      </c>
      <c r="H5">
        <v>11.507001437274255</v>
      </c>
      <c r="I5">
        <f>H5/3600</f>
        <v>3.1963892881317377E-3</v>
      </c>
    </row>
    <row r="6" spans="1:17">
      <c r="A6" s="1">
        <v>0.78138888888888891</v>
      </c>
      <c r="B6" s="3">
        <v>0</v>
      </c>
      <c r="C6">
        <v>0.03</v>
      </c>
      <c r="D6" s="1">
        <v>0.78138888888888891</v>
      </c>
      <c r="E6" s="1">
        <v>0.78258101851851847</v>
      </c>
      <c r="G6">
        <v>50</v>
      </c>
      <c r="H6">
        <v>7.1918758982964075</v>
      </c>
      <c r="I6">
        <f>H6/3600</f>
        <v>1.9977433050823354E-3</v>
      </c>
    </row>
    <row r="7" spans="1:17">
      <c r="A7" s="1">
        <v>0.78363425925925922</v>
      </c>
      <c r="B7" s="3">
        <v>0</v>
      </c>
      <c r="D7" s="1">
        <v>0.78374999999999995</v>
      </c>
      <c r="E7" s="1">
        <v>0.78493055555555558</v>
      </c>
      <c r="I7" s="1"/>
    </row>
    <row r="8" spans="1:17">
      <c r="A8" s="1">
        <v>0.78364583333333337</v>
      </c>
      <c r="B8" s="3">
        <v>50</v>
      </c>
      <c r="D8" s="1">
        <v>0.7837615740740741</v>
      </c>
      <c r="E8" s="1">
        <v>0.78494212962962961</v>
      </c>
    </row>
    <row r="9" spans="1:17">
      <c r="A9" s="1">
        <v>0.78402777777777777</v>
      </c>
      <c r="B9" s="3">
        <v>50</v>
      </c>
      <c r="D9" s="1">
        <v>0.78402777777777777</v>
      </c>
      <c r="E9" s="1">
        <v>0.78520833333333329</v>
      </c>
      <c r="H9" t="s">
        <v>5</v>
      </c>
      <c r="I9" t="s">
        <v>6</v>
      </c>
      <c r="K9" t="s">
        <v>7</v>
      </c>
      <c r="L9" t="s">
        <v>8</v>
      </c>
    </row>
    <row r="10" spans="1:17">
      <c r="A10" s="1">
        <v>0.78403935185185181</v>
      </c>
      <c r="B10" s="3">
        <v>0</v>
      </c>
      <c r="C10">
        <v>0.1</v>
      </c>
      <c r="D10" s="1">
        <v>0.78403935185185181</v>
      </c>
      <c r="E10" s="1">
        <v>0.78521990740740744</v>
      </c>
      <c r="G10">
        <v>0.01</v>
      </c>
      <c r="H10" s="3">
        <f>G10/$I$6</f>
        <v>5.0056481103250938</v>
      </c>
      <c r="I10" s="4">
        <f t="shared" ref="I10:I16" si="0">H10/60</f>
        <v>8.3427468505418226E-2</v>
      </c>
      <c r="J10" s="3">
        <f t="shared" ref="J10:J16" si="1">H10/10</f>
        <v>0.50056481103250938</v>
      </c>
      <c r="Q10" s="7"/>
    </row>
    <row r="11" spans="1:17">
      <c r="A11" s="1">
        <v>0.78628472222222223</v>
      </c>
      <c r="B11" s="3">
        <v>0</v>
      </c>
      <c r="D11" s="1">
        <v>0.78638888888888892</v>
      </c>
      <c r="E11" s="1">
        <v>0.78758101851851847</v>
      </c>
      <c r="G11">
        <v>0.03</v>
      </c>
      <c r="H11" s="3">
        <f t="shared" ref="H11:H16" si="2">G11/$I$6</f>
        <v>15.016944330975281</v>
      </c>
      <c r="I11" s="4">
        <f t="shared" si="0"/>
        <v>0.25028240551625469</v>
      </c>
      <c r="J11" s="3">
        <f t="shared" si="1"/>
        <v>1.5016944330975281</v>
      </c>
      <c r="K11" s="3">
        <f>J11-J10</f>
        <v>1.0011296220650188</v>
      </c>
      <c r="L11" s="4">
        <f>I11-I10</f>
        <v>0.16685493701083648</v>
      </c>
      <c r="Q11" s="7"/>
    </row>
    <row r="12" spans="1:17">
      <c r="A12" s="1">
        <v>0.78629629629629627</v>
      </c>
      <c r="B12" s="3">
        <v>50</v>
      </c>
      <c r="D12" s="1">
        <v>0.78640046296296295</v>
      </c>
      <c r="E12" s="1">
        <v>0.78759259259259262</v>
      </c>
      <c r="G12">
        <v>0.1</v>
      </c>
      <c r="H12" s="3">
        <f t="shared" si="2"/>
        <v>50.056481103250945</v>
      </c>
      <c r="I12" s="4">
        <f t="shared" si="0"/>
        <v>0.83427468505418245</v>
      </c>
      <c r="J12" s="3">
        <f t="shared" si="1"/>
        <v>5.0056481103250947</v>
      </c>
      <c r="K12" s="3">
        <f>J12-J11</f>
        <v>3.5039536772275666</v>
      </c>
      <c r="L12" s="4">
        <f t="shared" ref="L12:L16" si="3">I12-I11</f>
        <v>0.58399227953792776</v>
      </c>
      <c r="Q12" s="7"/>
    </row>
    <row r="13" spans="1:17">
      <c r="A13" s="1">
        <v>0.78759259259259262</v>
      </c>
      <c r="B13" s="3">
        <v>50</v>
      </c>
      <c r="D13" s="1">
        <v>0.78759259259259262</v>
      </c>
      <c r="E13" s="1">
        <v>0.78866898148148146</v>
      </c>
      <c r="G13">
        <v>0.3</v>
      </c>
      <c r="H13" s="3">
        <f t="shared" si="2"/>
        <v>150.16944330975281</v>
      </c>
      <c r="I13" s="4">
        <f t="shared" si="0"/>
        <v>2.5028240551625469</v>
      </c>
      <c r="J13" s="3">
        <f t="shared" si="1"/>
        <v>15.016944330975281</v>
      </c>
      <c r="K13" s="3">
        <f t="shared" ref="K13:K16" si="4">J13-J12</f>
        <v>10.011296220650188</v>
      </c>
      <c r="L13" s="4">
        <f t="shared" si="3"/>
        <v>1.6685493701083645</v>
      </c>
      <c r="Q13" s="7"/>
    </row>
    <row r="14" spans="1:17">
      <c r="A14" s="1">
        <v>0.78760416666666666</v>
      </c>
      <c r="B14" s="3">
        <v>0</v>
      </c>
      <c r="C14">
        <v>0.3</v>
      </c>
      <c r="D14" s="1">
        <v>0.78760416666666666</v>
      </c>
      <c r="E14" s="1">
        <v>0.78868055555555561</v>
      </c>
      <c r="G14">
        <v>1</v>
      </c>
      <c r="H14" s="3">
        <f t="shared" si="2"/>
        <v>500.5648110325094</v>
      </c>
      <c r="I14" s="4">
        <f t="shared" si="0"/>
        <v>8.3427468505418236</v>
      </c>
      <c r="J14" s="3">
        <f t="shared" si="1"/>
        <v>50.056481103250938</v>
      </c>
      <c r="K14" s="3">
        <f t="shared" si="4"/>
        <v>35.039536772275653</v>
      </c>
      <c r="L14" s="4">
        <f t="shared" si="3"/>
        <v>5.8399227953792767</v>
      </c>
      <c r="Q14" s="7"/>
    </row>
    <row r="15" spans="1:17">
      <c r="A15" s="1">
        <v>0.7897453703703704</v>
      </c>
      <c r="B15" s="3">
        <v>0</v>
      </c>
      <c r="D15" s="1">
        <v>0.79011574074074076</v>
      </c>
      <c r="E15" s="1">
        <v>0.79105324074074079</v>
      </c>
      <c r="G15">
        <v>3</v>
      </c>
      <c r="H15" s="3">
        <f t="shared" si="2"/>
        <v>1501.6944330975282</v>
      </c>
      <c r="I15" s="4">
        <f t="shared" si="0"/>
        <v>25.028240551625469</v>
      </c>
      <c r="J15" s="3">
        <f t="shared" si="1"/>
        <v>150.16944330975281</v>
      </c>
      <c r="K15" s="3">
        <f t="shared" si="4"/>
        <v>100.11296220650186</v>
      </c>
      <c r="L15" s="4">
        <f t="shared" si="3"/>
        <v>16.685493701083644</v>
      </c>
      <c r="Q15" s="7"/>
    </row>
    <row r="16" spans="1:17">
      <c r="A16" s="1">
        <v>0.78975694444444444</v>
      </c>
      <c r="B16" s="3">
        <v>50</v>
      </c>
      <c r="D16" s="1">
        <v>0.7901273148148148</v>
      </c>
      <c r="E16" s="1">
        <v>0.79106481481481483</v>
      </c>
      <c r="G16">
        <v>10</v>
      </c>
      <c r="H16" s="3">
        <f t="shared" si="2"/>
        <v>5005.6481103250935</v>
      </c>
      <c r="I16" s="4">
        <f t="shared" si="0"/>
        <v>83.427468505418219</v>
      </c>
      <c r="J16" s="3">
        <f t="shared" si="1"/>
        <v>500.56481103250934</v>
      </c>
      <c r="K16" s="3">
        <f t="shared" si="4"/>
        <v>350.39536772275653</v>
      </c>
      <c r="L16" s="4">
        <f t="shared" si="3"/>
        <v>58.399227953792746</v>
      </c>
      <c r="Q16" s="7"/>
    </row>
    <row r="17" spans="1:17">
      <c r="A17" s="1">
        <v>0.79386574074074079</v>
      </c>
      <c r="B17" s="3">
        <v>50</v>
      </c>
      <c r="D17" s="1">
        <v>0.79386574074074079</v>
      </c>
      <c r="E17" s="1">
        <v>0.79504629629629631</v>
      </c>
      <c r="Q17" s="7"/>
    </row>
    <row r="18" spans="1:17">
      <c r="A18" s="1">
        <v>0.79387731481481483</v>
      </c>
      <c r="B18" s="3">
        <v>0</v>
      </c>
      <c r="C18">
        <v>1</v>
      </c>
      <c r="D18" s="1">
        <v>0.79387731481481483</v>
      </c>
      <c r="E18" s="1">
        <v>0.79505787037037035</v>
      </c>
      <c r="Q18" s="7"/>
    </row>
    <row r="19" spans="1:17">
      <c r="A19" s="1">
        <v>0.79599537037037038</v>
      </c>
      <c r="B19" s="3">
        <v>0</v>
      </c>
      <c r="D19" s="1">
        <v>0.7961111111111111</v>
      </c>
      <c r="E19" s="1">
        <v>0.7961111111111111</v>
      </c>
      <c r="Q19" s="7"/>
    </row>
    <row r="20" spans="1:17">
      <c r="A20" s="1">
        <v>0.79600694444444442</v>
      </c>
      <c r="B20" s="3">
        <v>50</v>
      </c>
      <c r="C20" s="1"/>
      <c r="D20" s="1">
        <v>0.79612268518518514</v>
      </c>
      <c r="E20" s="1">
        <v>0.79612268518518514</v>
      </c>
      <c r="Q20" s="7"/>
    </row>
    <row r="21" spans="1:17">
      <c r="A21" s="1">
        <v>0.80722222222222217</v>
      </c>
      <c r="B21" s="3">
        <v>50</v>
      </c>
      <c r="D21" s="1">
        <v>0.80722222222222217</v>
      </c>
      <c r="E21" s="1">
        <v>0.80843750000000003</v>
      </c>
      <c r="Q21" s="7"/>
    </row>
    <row r="22" spans="1:17">
      <c r="A22" s="1">
        <v>0.80723379629629632</v>
      </c>
      <c r="B22" s="3">
        <v>0</v>
      </c>
      <c r="C22">
        <v>3</v>
      </c>
      <c r="D22" s="1">
        <v>0.80723379629629632</v>
      </c>
      <c r="E22" s="1">
        <v>0.80844907407407407</v>
      </c>
      <c r="Q22" s="7"/>
    </row>
    <row r="23" spans="1:17">
      <c r="A23" s="1">
        <v>0.80951388888888887</v>
      </c>
      <c r="B23" s="3">
        <v>0</v>
      </c>
      <c r="D23" s="1">
        <v>0.80962962962962959</v>
      </c>
      <c r="E23" s="1">
        <v>0.81096064814814817</v>
      </c>
      <c r="Q23" s="7"/>
    </row>
    <row r="24" spans="1:17">
      <c r="A24" s="1">
        <v>0.80952546296296302</v>
      </c>
      <c r="B24" s="3">
        <v>50</v>
      </c>
      <c r="D24" s="1">
        <v>0.80964120370370374</v>
      </c>
      <c r="E24" s="1">
        <v>0.81097222222222221</v>
      </c>
      <c r="Q24" s="7"/>
    </row>
    <row r="25" spans="1:17">
      <c r="A25" s="1">
        <v>0.8208333333333333</v>
      </c>
      <c r="B25" s="3">
        <v>50</v>
      </c>
      <c r="D25" s="1">
        <v>0.8208333333333333</v>
      </c>
      <c r="E25" s="1">
        <v>0.8208333333333333</v>
      </c>
      <c r="Q25" s="7"/>
    </row>
    <row r="26" spans="1:17">
      <c r="A26" s="1">
        <v>0.82084490740740745</v>
      </c>
      <c r="B26" s="3">
        <v>0</v>
      </c>
      <c r="D26" s="1">
        <v>0.82084490740740745</v>
      </c>
      <c r="E26" s="1">
        <v>0.82084490740740745</v>
      </c>
      <c r="Q26" s="7"/>
    </row>
    <row r="27" spans="1:17">
      <c r="A27" s="1">
        <v>0.82204861111111116</v>
      </c>
      <c r="B27" s="3">
        <v>0</v>
      </c>
      <c r="D27" s="1">
        <v>0.82204861111111116</v>
      </c>
      <c r="E27" s="1">
        <v>0.82204861111111116</v>
      </c>
      <c r="Q27" s="7"/>
    </row>
    <row r="28" spans="1:17">
      <c r="A28" s="1"/>
      <c r="B28" s="3"/>
      <c r="Q28" s="7"/>
    </row>
    <row r="29" spans="1:17">
      <c r="Q29" s="7"/>
    </row>
    <row r="30" spans="1:17">
      <c r="Q30" s="7"/>
    </row>
    <row r="31" spans="1:17">
      <c r="Q31" s="7"/>
    </row>
    <row r="32" spans="1:17">
      <c r="Q32" s="7"/>
    </row>
    <row r="33" spans="17:17">
      <c r="Q33" s="7"/>
    </row>
    <row r="34" spans="17:17">
      <c r="Q34" s="7"/>
    </row>
    <row r="35" spans="17:17">
      <c r="Q35" s="7"/>
    </row>
    <row r="36" spans="17:17">
      <c r="Q36" s="7"/>
    </row>
    <row r="37" spans="17:17">
      <c r="Q37" s="7"/>
    </row>
    <row r="38" spans="17:17">
      <c r="Q38" s="7"/>
    </row>
    <row r="39" spans="17:17">
      <c r="Q39" s="7"/>
    </row>
    <row r="40" spans="17:17">
      <c r="Q40" s="7"/>
    </row>
    <row r="41" spans="17:17">
      <c r="Q41" s="7"/>
    </row>
    <row r="42" spans="17:17">
      <c r="Q42" s="7"/>
    </row>
    <row r="43" spans="17:17">
      <c r="Q43" s="7"/>
    </row>
    <row r="44" spans="17:17">
      <c r="Q44" s="7"/>
    </row>
    <row r="45" spans="17:17">
      <c r="Q45" s="7"/>
    </row>
    <row r="46" spans="17:17">
      <c r="Q46" s="7"/>
    </row>
    <row r="47" spans="17:17">
      <c r="Q47" s="7"/>
    </row>
    <row r="48" spans="17:17">
      <c r="Q48" s="7"/>
    </row>
    <row r="49" spans="17:17">
      <c r="Q49" s="7"/>
    </row>
    <row r="50" spans="17:17">
      <c r="Q50" s="7"/>
    </row>
    <row r="51" spans="17:17">
      <c r="Q51" s="7"/>
    </row>
    <row r="52" spans="17:17">
      <c r="Q52" s="7"/>
    </row>
    <row r="53" spans="17:17">
      <c r="Q53" s="7"/>
    </row>
    <row r="54" spans="17:17">
      <c r="Q54" s="7"/>
    </row>
    <row r="55" spans="17:17">
      <c r="Q55" s="7"/>
    </row>
    <row r="56" spans="17:17">
      <c r="Q56" s="7"/>
    </row>
    <row r="57" spans="17:17">
      <c r="Q57" s="7"/>
    </row>
    <row r="58" spans="17:17">
      <c r="Q58" s="7"/>
    </row>
    <row r="59" spans="17:17">
      <c r="Q59" s="7"/>
    </row>
    <row r="60" spans="17:17">
      <c r="Q60" s="7"/>
    </row>
    <row r="61" spans="17:17">
      <c r="Q61" s="7"/>
    </row>
    <row r="62" spans="17:17">
      <c r="Q62" s="7"/>
    </row>
    <row r="63" spans="17:17">
      <c r="Q63" s="7"/>
    </row>
    <row r="64" spans="17:17">
      <c r="Q64" s="7"/>
    </row>
    <row r="65" spans="17:17">
      <c r="Q65" s="7"/>
    </row>
    <row r="66" spans="17:17">
      <c r="Q66" s="7"/>
    </row>
    <row r="67" spans="17:17">
      <c r="Q67" s="7"/>
    </row>
    <row r="68" spans="17:17">
      <c r="Q68" s="7"/>
    </row>
    <row r="69" spans="17:17">
      <c r="Q69" s="7"/>
    </row>
    <row r="70" spans="17:17">
      <c r="Q70" s="7"/>
    </row>
    <row r="71" spans="17:17">
      <c r="Q71" s="7"/>
    </row>
    <row r="72" spans="17:17">
      <c r="Q72" s="7"/>
    </row>
    <row r="73" spans="17:17">
      <c r="Q73" s="7"/>
    </row>
    <row r="74" spans="17:17">
      <c r="Q74" s="7"/>
    </row>
    <row r="75" spans="17:17">
      <c r="Q75" s="7"/>
    </row>
    <row r="76" spans="17:17">
      <c r="Q76" s="7"/>
    </row>
    <row r="77" spans="17:17">
      <c r="Q77" s="7"/>
    </row>
    <row r="78" spans="17:17">
      <c r="Q78" s="7"/>
    </row>
    <row r="79" spans="17:17">
      <c r="Q79" s="7"/>
    </row>
    <row r="80" spans="17:17">
      <c r="Q80" s="7"/>
    </row>
    <row r="81" spans="17:17">
      <c r="Q81" s="7"/>
    </row>
    <row r="82" spans="17:17">
      <c r="Q82" s="7"/>
    </row>
    <row r="83" spans="17:17">
      <c r="Q83" s="7"/>
    </row>
    <row r="84" spans="17:17">
      <c r="Q84" s="7"/>
    </row>
    <row r="85" spans="17:17">
      <c r="Q85" s="7"/>
    </row>
    <row r="86" spans="17:17">
      <c r="Q86" s="7"/>
    </row>
    <row r="87" spans="17:17">
      <c r="Q87" s="7"/>
    </row>
    <row r="88" spans="17:17">
      <c r="Q88" s="7"/>
    </row>
    <row r="89" spans="17:17">
      <c r="Q89" s="7"/>
    </row>
    <row r="90" spans="17:17">
      <c r="Q90" s="7"/>
    </row>
    <row r="91" spans="17:17">
      <c r="Q91" s="7"/>
    </row>
    <row r="92" spans="17:17">
      <c r="Q92" s="7"/>
    </row>
    <row r="93" spans="17:17">
      <c r="Q93" s="7"/>
    </row>
    <row r="94" spans="17:17">
      <c r="Q94" s="7"/>
    </row>
    <row r="95" spans="17:17">
      <c r="Q95" s="7"/>
    </row>
    <row r="96" spans="17:17">
      <c r="Q96" s="7"/>
    </row>
    <row r="97" spans="17:17">
      <c r="Q97" s="7"/>
    </row>
    <row r="98" spans="17:17">
      <c r="Q98" s="7"/>
    </row>
    <row r="99" spans="17:17">
      <c r="Q99" s="7"/>
    </row>
    <row r="100" spans="17:17">
      <c r="Q100" s="7"/>
    </row>
    <row r="101" spans="17:17">
      <c r="Q101" s="7"/>
    </row>
    <row r="102" spans="17:17">
      <c r="Q102" s="7"/>
    </row>
    <row r="103" spans="17:17">
      <c r="Q103" s="7"/>
    </row>
    <row r="104" spans="17:17">
      <c r="Q104" s="7"/>
    </row>
    <row r="105" spans="17:17">
      <c r="Q105" s="7"/>
    </row>
    <row r="106" spans="17:17">
      <c r="Q106" s="7"/>
    </row>
    <row r="107" spans="17:17">
      <c r="Q107" s="7"/>
    </row>
    <row r="108" spans="17:17">
      <c r="Q108" s="7"/>
    </row>
    <row r="109" spans="17:17">
      <c r="Q109" s="7"/>
    </row>
    <row r="110" spans="17:17">
      <c r="Q110" s="7"/>
    </row>
    <row r="111" spans="17:17">
      <c r="Q111" s="7"/>
    </row>
    <row r="112" spans="17:17">
      <c r="Q112" s="7"/>
    </row>
    <row r="113" spans="17:17">
      <c r="Q113" s="7"/>
    </row>
    <row r="114" spans="17:17">
      <c r="Q114" s="7"/>
    </row>
    <row r="115" spans="17:17">
      <c r="Q115" s="7"/>
    </row>
    <row r="116" spans="17:17">
      <c r="Q116" s="7"/>
    </row>
    <row r="117" spans="17:17">
      <c r="Q117" s="7"/>
    </row>
    <row r="118" spans="17:17">
      <c r="Q118" s="7"/>
    </row>
    <row r="119" spans="17:17">
      <c r="Q119" s="7"/>
    </row>
    <row r="120" spans="17:17">
      <c r="Q120" s="7"/>
    </row>
    <row r="121" spans="17:17">
      <c r="Q121" s="7"/>
    </row>
    <row r="122" spans="17:17">
      <c r="Q122" s="7"/>
    </row>
    <row r="123" spans="17:17">
      <c r="Q123" s="7"/>
    </row>
    <row r="124" spans="17:17">
      <c r="Q124" s="7"/>
    </row>
    <row r="125" spans="17:17">
      <c r="Q125" s="7"/>
    </row>
    <row r="126" spans="17:17">
      <c r="Q126" s="7"/>
    </row>
    <row r="127" spans="17:17">
      <c r="Q127" s="7"/>
    </row>
    <row r="128" spans="17:17">
      <c r="Q128" s="7"/>
    </row>
    <row r="129" spans="17:17">
      <c r="Q129" s="7"/>
    </row>
    <row r="130" spans="17:17">
      <c r="Q130" s="7"/>
    </row>
    <row r="131" spans="17:17">
      <c r="Q131" s="7"/>
    </row>
    <row r="132" spans="17:17">
      <c r="Q132" s="7"/>
    </row>
    <row r="133" spans="17:17">
      <c r="Q133" s="7"/>
    </row>
    <row r="134" spans="17:17">
      <c r="Q134" s="7"/>
    </row>
    <row r="135" spans="17:17">
      <c r="Q135" s="7"/>
    </row>
    <row r="136" spans="17:17">
      <c r="Q136" s="7"/>
    </row>
    <row r="137" spans="17:17">
      <c r="Q137" s="7"/>
    </row>
    <row r="138" spans="17:17">
      <c r="Q138" s="7"/>
    </row>
    <row r="139" spans="17:17">
      <c r="Q139" s="7"/>
    </row>
    <row r="140" spans="17:17">
      <c r="Q140" s="7"/>
    </row>
    <row r="141" spans="17:17">
      <c r="Q141" s="7"/>
    </row>
    <row r="142" spans="17:17">
      <c r="Q142" s="7"/>
    </row>
    <row r="143" spans="17:17">
      <c r="Q143" s="7"/>
    </row>
    <row r="144" spans="17:17">
      <c r="Q144" s="7"/>
    </row>
    <row r="145" spans="17:17">
      <c r="Q145" s="7"/>
    </row>
    <row r="146" spans="17:17">
      <c r="Q146" s="7"/>
    </row>
    <row r="147" spans="17:17">
      <c r="Q147" s="7"/>
    </row>
    <row r="148" spans="17:17">
      <c r="Q148" s="7"/>
    </row>
    <row r="149" spans="17:17">
      <c r="Q149" s="7"/>
    </row>
    <row r="150" spans="17:17">
      <c r="Q150" s="7"/>
    </row>
    <row r="151" spans="17:17">
      <c r="Q151" s="7"/>
    </row>
    <row r="152" spans="17:17">
      <c r="Q152" s="7"/>
    </row>
    <row r="153" spans="17:17">
      <c r="Q153" s="7"/>
    </row>
    <row r="154" spans="17:17">
      <c r="Q154" s="7"/>
    </row>
    <row r="155" spans="17:17">
      <c r="Q155" s="7"/>
    </row>
    <row r="156" spans="17:17">
      <c r="Q156" s="7"/>
    </row>
    <row r="157" spans="17:17">
      <c r="Q157" s="7"/>
    </row>
    <row r="158" spans="17:17">
      <c r="Q158" s="7"/>
    </row>
    <row r="159" spans="17:17">
      <c r="Q159" s="7"/>
    </row>
    <row r="160" spans="17:17">
      <c r="Q160" s="7"/>
    </row>
    <row r="161" spans="17:17">
      <c r="Q161" s="7"/>
    </row>
    <row r="162" spans="17:17">
      <c r="Q162" s="7"/>
    </row>
    <row r="163" spans="17:17">
      <c r="Q163" s="7"/>
    </row>
    <row r="164" spans="17:17">
      <c r="Q164" s="7"/>
    </row>
    <row r="165" spans="17:17">
      <c r="Q165" s="7"/>
    </row>
    <row r="166" spans="17:17">
      <c r="Q166" s="7"/>
    </row>
    <row r="167" spans="17:17">
      <c r="Q167" s="7"/>
    </row>
    <row r="168" spans="17:17">
      <c r="Q168" s="7"/>
    </row>
    <row r="169" spans="17:17">
      <c r="Q169" s="7"/>
    </row>
    <row r="170" spans="17:17">
      <c r="Q170" s="7"/>
    </row>
    <row r="171" spans="17:17">
      <c r="Q171" s="7"/>
    </row>
    <row r="172" spans="17:17">
      <c r="Q172" s="7"/>
    </row>
    <row r="173" spans="17:17">
      <c r="Q173" s="7"/>
    </row>
    <row r="174" spans="17:17">
      <c r="Q174" s="7"/>
    </row>
    <row r="175" spans="17:17">
      <c r="Q175" s="7"/>
    </row>
    <row r="176" spans="17:17">
      <c r="Q176" s="7"/>
    </row>
    <row r="177" spans="17:17">
      <c r="Q177" s="7"/>
    </row>
    <row r="178" spans="17:17">
      <c r="Q178" s="7"/>
    </row>
    <row r="179" spans="17:17">
      <c r="Q179" s="7"/>
    </row>
    <row r="180" spans="17:17">
      <c r="Q180" s="7"/>
    </row>
    <row r="181" spans="17:17">
      <c r="Q181" s="7"/>
    </row>
    <row r="182" spans="17:17">
      <c r="Q182" s="7"/>
    </row>
    <row r="183" spans="17:17">
      <c r="Q183" s="7"/>
    </row>
    <row r="184" spans="17:17">
      <c r="Q184" s="7"/>
    </row>
    <row r="185" spans="17:17">
      <c r="Q185" s="7"/>
    </row>
    <row r="186" spans="17:17">
      <c r="Q186" s="7"/>
    </row>
    <row r="187" spans="17:17">
      <c r="Q187" s="7"/>
    </row>
    <row r="188" spans="17:17">
      <c r="Q188" s="7"/>
    </row>
    <row r="189" spans="17:17">
      <c r="Q189" s="7"/>
    </row>
    <row r="190" spans="17:17">
      <c r="Q190" s="7"/>
    </row>
    <row r="191" spans="17:17">
      <c r="Q191" s="7"/>
    </row>
    <row r="192" spans="17:17">
      <c r="Q192" s="7"/>
    </row>
    <row r="193" spans="17:17">
      <c r="Q193" s="7"/>
    </row>
    <row r="194" spans="17:17">
      <c r="Q194" s="7"/>
    </row>
    <row r="195" spans="17:17">
      <c r="Q195" s="7"/>
    </row>
    <row r="196" spans="17:17">
      <c r="Q196" s="7"/>
    </row>
    <row r="197" spans="17:17">
      <c r="Q197" s="7"/>
    </row>
    <row r="198" spans="17:17">
      <c r="Q198" s="7"/>
    </row>
    <row r="199" spans="17:17">
      <c r="Q199" s="7"/>
    </row>
    <row r="200" spans="17:17">
      <c r="Q200" s="7"/>
    </row>
    <row r="201" spans="17:17">
      <c r="Q201" s="7"/>
    </row>
    <row r="202" spans="17:17">
      <c r="Q202" s="7"/>
    </row>
    <row r="203" spans="17:17">
      <c r="Q203" s="7"/>
    </row>
    <row r="204" spans="17:17">
      <c r="Q204" s="7"/>
    </row>
    <row r="205" spans="17:17">
      <c r="Q205" s="7"/>
    </row>
    <row r="206" spans="17:17">
      <c r="Q206" s="7"/>
    </row>
    <row r="207" spans="17:17">
      <c r="Q207" s="7"/>
    </row>
    <row r="208" spans="17:17">
      <c r="Q208" s="7"/>
    </row>
    <row r="209" spans="17:17">
      <c r="Q209" s="7"/>
    </row>
    <row r="210" spans="17:17">
      <c r="Q210" s="7"/>
    </row>
    <row r="211" spans="17:17">
      <c r="Q211" s="7"/>
    </row>
    <row r="212" spans="17:17">
      <c r="Q212" s="7"/>
    </row>
    <row r="213" spans="17:17">
      <c r="Q213" s="7"/>
    </row>
    <row r="214" spans="17:17">
      <c r="Q214" s="7"/>
    </row>
    <row r="215" spans="17:17">
      <c r="Q215" s="7"/>
    </row>
    <row r="216" spans="17:17">
      <c r="Q216" s="7"/>
    </row>
    <row r="217" spans="17:17">
      <c r="Q217" s="7"/>
    </row>
    <row r="218" spans="17:17">
      <c r="Q218" s="7"/>
    </row>
    <row r="219" spans="17:17">
      <c r="Q219" s="7"/>
    </row>
    <row r="220" spans="17:17">
      <c r="Q220" s="7"/>
    </row>
    <row r="221" spans="17:17">
      <c r="Q221" s="7"/>
    </row>
    <row r="222" spans="17:17">
      <c r="Q222" s="7"/>
    </row>
    <row r="223" spans="17:17">
      <c r="Q223" s="7"/>
    </row>
    <row r="224" spans="17:17">
      <c r="Q224" s="7"/>
    </row>
    <row r="225" spans="17:17">
      <c r="Q225" s="7"/>
    </row>
    <row r="226" spans="17:17">
      <c r="Q226" s="7"/>
    </row>
    <row r="227" spans="17:17">
      <c r="Q227" s="7"/>
    </row>
    <row r="228" spans="17:17">
      <c r="Q228" s="7"/>
    </row>
    <row r="229" spans="17:17">
      <c r="Q229" s="7"/>
    </row>
    <row r="230" spans="17:17">
      <c r="Q230" s="7"/>
    </row>
    <row r="231" spans="17:17">
      <c r="Q231" s="7"/>
    </row>
    <row r="232" spans="17:17">
      <c r="Q232" s="7"/>
    </row>
    <row r="233" spans="17:17">
      <c r="Q233" s="7"/>
    </row>
    <row r="234" spans="17:17">
      <c r="Q234" s="7"/>
    </row>
    <row r="235" spans="17:17">
      <c r="Q235" s="7"/>
    </row>
    <row r="236" spans="17:17">
      <c r="Q236" s="7"/>
    </row>
    <row r="237" spans="17:17">
      <c r="Q237" s="7"/>
    </row>
    <row r="238" spans="17:17">
      <c r="Q238" s="7"/>
    </row>
    <row r="239" spans="17:17">
      <c r="Q239" s="7"/>
    </row>
    <row r="240" spans="17:17">
      <c r="Q240" s="7"/>
    </row>
    <row r="241" spans="17:17">
      <c r="Q241" s="7"/>
    </row>
    <row r="242" spans="17:17">
      <c r="Q242" s="7"/>
    </row>
    <row r="243" spans="17:17">
      <c r="Q243" s="7"/>
    </row>
    <row r="244" spans="17:17">
      <c r="Q244" s="7"/>
    </row>
    <row r="245" spans="17:17">
      <c r="Q245" s="7"/>
    </row>
    <row r="246" spans="17:17">
      <c r="Q246" s="7"/>
    </row>
    <row r="247" spans="17:17">
      <c r="Q247" s="7"/>
    </row>
    <row r="248" spans="17:17">
      <c r="Q248" s="7"/>
    </row>
    <row r="249" spans="17:17">
      <c r="Q249" s="7"/>
    </row>
    <row r="250" spans="17:17">
      <c r="Q250" s="7"/>
    </row>
    <row r="251" spans="17:17">
      <c r="Q251" s="7"/>
    </row>
    <row r="252" spans="17:17">
      <c r="Q252" s="7"/>
    </row>
    <row r="253" spans="17:17">
      <c r="Q253" s="7"/>
    </row>
    <row r="254" spans="17:17">
      <c r="Q254" s="7"/>
    </row>
    <row r="255" spans="17:17">
      <c r="Q255" s="7"/>
    </row>
    <row r="256" spans="17:17">
      <c r="Q256" s="7"/>
    </row>
    <row r="257" spans="17:17">
      <c r="Q257" s="7"/>
    </row>
    <row r="258" spans="17:17">
      <c r="Q258" s="7"/>
    </row>
    <row r="259" spans="17:17">
      <c r="Q259" s="7"/>
    </row>
    <row r="260" spans="17:17">
      <c r="Q260" s="7"/>
    </row>
    <row r="261" spans="17:17">
      <c r="Q261" s="7"/>
    </row>
    <row r="262" spans="17:17">
      <c r="Q262" s="7"/>
    </row>
    <row r="263" spans="17:17">
      <c r="Q263" s="7"/>
    </row>
    <row r="264" spans="17:17">
      <c r="Q264" s="7"/>
    </row>
    <row r="265" spans="17:17">
      <c r="Q265" s="7"/>
    </row>
    <row r="266" spans="17:17">
      <c r="Q266" s="7"/>
    </row>
    <row r="267" spans="17:17">
      <c r="Q267" s="7"/>
    </row>
    <row r="268" spans="17:17">
      <c r="Q268" s="7"/>
    </row>
    <row r="269" spans="17:17">
      <c r="Q269" s="7"/>
    </row>
    <row r="270" spans="17:17">
      <c r="Q270" s="7"/>
    </row>
    <row r="271" spans="17:17">
      <c r="Q271" s="7"/>
    </row>
    <row r="272" spans="17:17">
      <c r="Q272" s="7"/>
    </row>
    <row r="273" spans="17:17">
      <c r="Q273" s="7"/>
    </row>
    <row r="274" spans="17:17">
      <c r="Q274" s="7"/>
    </row>
    <row r="275" spans="17:17">
      <c r="Q275" s="7"/>
    </row>
    <row r="276" spans="17:17">
      <c r="Q276" s="7"/>
    </row>
    <row r="277" spans="17:17">
      <c r="Q277" s="7"/>
    </row>
    <row r="278" spans="17:17">
      <c r="Q278" s="7"/>
    </row>
    <row r="279" spans="17:17">
      <c r="Q279" s="7"/>
    </row>
    <row r="280" spans="17:17">
      <c r="Q280" s="7"/>
    </row>
    <row r="281" spans="17:17">
      <c r="Q281" s="7"/>
    </row>
    <row r="282" spans="17:17">
      <c r="Q282" s="7"/>
    </row>
    <row r="283" spans="17:17">
      <c r="Q283" s="7"/>
    </row>
    <row r="284" spans="17:17">
      <c r="Q284" s="7"/>
    </row>
    <row r="285" spans="17:17">
      <c r="Q285" s="7"/>
    </row>
    <row r="286" spans="17:17">
      <c r="Q286" s="7"/>
    </row>
    <row r="287" spans="17:17">
      <c r="Q287" s="7"/>
    </row>
    <row r="288" spans="17:17">
      <c r="Q288" s="7"/>
    </row>
    <row r="289" spans="17:17">
      <c r="Q289" s="7"/>
    </row>
    <row r="290" spans="17:17">
      <c r="Q290" s="7"/>
    </row>
    <row r="291" spans="17:17">
      <c r="Q291" s="7"/>
    </row>
    <row r="292" spans="17:17">
      <c r="Q292" s="7"/>
    </row>
    <row r="293" spans="17:17">
      <c r="Q293" s="7"/>
    </row>
    <row r="294" spans="17:17">
      <c r="Q294" s="7"/>
    </row>
    <row r="295" spans="17:17">
      <c r="Q295" s="7"/>
    </row>
    <row r="296" spans="17:17">
      <c r="Q296" s="7"/>
    </row>
    <row r="297" spans="17:17">
      <c r="Q297" s="7"/>
    </row>
    <row r="298" spans="17:17">
      <c r="Q298" s="7"/>
    </row>
    <row r="299" spans="17:17">
      <c r="Q299" s="7"/>
    </row>
    <row r="300" spans="17:17">
      <c r="Q300" s="7"/>
    </row>
    <row r="301" spans="17:17">
      <c r="Q301" s="7"/>
    </row>
    <row r="302" spans="17:17">
      <c r="Q302" s="7"/>
    </row>
    <row r="303" spans="17:17">
      <c r="Q303" s="7"/>
    </row>
    <row r="304" spans="17:17">
      <c r="Q304" s="7"/>
    </row>
    <row r="305" spans="17:17">
      <c r="Q305" s="7"/>
    </row>
    <row r="306" spans="17:17">
      <c r="Q306" s="7"/>
    </row>
    <row r="307" spans="17:17">
      <c r="Q307" s="7"/>
    </row>
    <row r="308" spans="17:17">
      <c r="Q308" s="7"/>
    </row>
    <row r="309" spans="17:17">
      <c r="Q309" s="7"/>
    </row>
    <row r="310" spans="17:17">
      <c r="Q310" s="7"/>
    </row>
    <row r="311" spans="17:17">
      <c r="Q311" s="7"/>
    </row>
    <row r="312" spans="17:17">
      <c r="Q312" s="7"/>
    </row>
    <row r="313" spans="17:17">
      <c r="Q313" s="7"/>
    </row>
    <row r="314" spans="17:17">
      <c r="Q314" s="7"/>
    </row>
    <row r="315" spans="17:17">
      <c r="Q315" s="7"/>
    </row>
    <row r="316" spans="17:17">
      <c r="Q316" s="7"/>
    </row>
    <row r="317" spans="17:17">
      <c r="Q317" s="7"/>
    </row>
    <row r="318" spans="17:17">
      <c r="Q318" s="7"/>
    </row>
    <row r="319" spans="17:17">
      <c r="Q319" s="7"/>
    </row>
    <row r="320" spans="17:17">
      <c r="Q320" s="7"/>
    </row>
    <row r="321" spans="17:17">
      <c r="Q321" s="7"/>
    </row>
    <row r="322" spans="17:17">
      <c r="Q322" s="7"/>
    </row>
    <row r="323" spans="17:17">
      <c r="Q323" s="7"/>
    </row>
    <row r="324" spans="17:17">
      <c r="Q324" s="7"/>
    </row>
    <row r="325" spans="17:17">
      <c r="Q325" s="7"/>
    </row>
    <row r="326" spans="17:17">
      <c r="Q326" s="7"/>
    </row>
    <row r="327" spans="17:17">
      <c r="Q327" s="7"/>
    </row>
    <row r="328" spans="17:17">
      <c r="Q328" s="7"/>
    </row>
    <row r="329" spans="17:17">
      <c r="Q329" s="7"/>
    </row>
    <row r="330" spans="17:17">
      <c r="Q330" s="7"/>
    </row>
    <row r="331" spans="17:17">
      <c r="Q331" s="7"/>
    </row>
    <row r="332" spans="17:17">
      <c r="Q332" s="7"/>
    </row>
    <row r="333" spans="17:17">
      <c r="Q333" s="7"/>
    </row>
    <row r="334" spans="17:17">
      <c r="Q334" s="7"/>
    </row>
    <row r="335" spans="17:17">
      <c r="Q335" s="7"/>
    </row>
    <row r="336" spans="17:17">
      <c r="Q336" s="7"/>
    </row>
    <row r="337" spans="17:17">
      <c r="Q337" s="7"/>
    </row>
    <row r="338" spans="17:17">
      <c r="Q338" s="7"/>
    </row>
    <row r="339" spans="17:17">
      <c r="Q339" s="7"/>
    </row>
    <row r="340" spans="17:17">
      <c r="Q340" s="7"/>
    </row>
    <row r="341" spans="17:17">
      <c r="Q341" s="7"/>
    </row>
    <row r="342" spans="17:17">
      <c r="Q342" s="7"/>
    </row>
    <row r="343" spans="17:17">
      <c r="Q343" s="7"/>
    </row>
    <row r="344" spans="17:17">
      <c r="Q344" s="7"/>
    </row>
    <row r="345" spans="17:17">
      <c r="Q345" s="7"/>
    </row>
    <row r="346" spans="17:17">
      <c r="Q346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79203-A2EB-2145-8617-5EA1FFA7560E}">
  <dimension ref="A1:L26"/>
  <sheetViews>
    <sheetView workbookViewId="0">
      <selection activeCell="D2" sqref="D2:D3"/>
    </sheetView>
  </sheetViews>
  <sheetFormatPr baseColWidth="10" defaultRowHeight="16"/>
  <sheetData>
    <row r="1" spans="1:12">
      <c r="A1" t="s">
        <v>11</v>
      </c>
      <c r="B1" t="s">
        <v>1</v>
      </c>
    </row>
    <row r="2" spans="1:12">
      <c r="A2" s="2">
        <v>0.84166666666666667</v>
      </c>
      <c r="B2">
        <v>0</v>
      </c>
      <c r="D2" t="s">
        <v>18</v>
      </c>
    </row>
    <row r="3" spans="1:12">
      <c r="A3" s="1">
        <v>0.84408564814814813</v>
      </c>
      <c r="B3">
        <v>0</v>
      </c>
      <c r="D3" t="s">
        <v>17</v>
      </c>
    </row>
    <row r="4" spans="1:12">
      <c r="A4" s="1">
        <v>0.84409722222222228</v>
      </c>
      <c r="B4">
        <v>50</v>
      </c>
    </row>
    <row r="5" spans="1:12">
      <c r="A5" s="1">
        <v>0.84431712962962968</v>
      </c>
      <c r="B5">
        <v>50</v>
      </c>
      <c r="C5">
        <v>0.03</v>
      </c>
    </row>
    <row r="6" spans="1:12">
      <c r="A6" s="1">
        <v>0.84432870370370372</v>
      </c>
      <c r="B6">
        <v>0</v>
      </c>
      <c r="G6">
        <v>50</v>
      </c>
      <c r="H6">
        <v>7.1918758982964075</v>
      </c>
      <c r="I6">
        <f>H6/3600</f>
        <v>1.9977433050823354E-3</v>
      </c>
    </row>
    <row r="7" spans="1:12">
      <c r="A7" s="1">
        <v>0.84640046296296301</v>
      </c>
      <c r="B7">
        <v>0</v>
      </c>
      <c r="I7" s="1"/>
    </row>
    <row r="8" spans="1:12">
      <c r="A8" s="2">
        <v>0.84641203703703705</v>
      </c>
      <c r="B8">
        <v>50</v>
      </c>
    </row>
    <row r="9" spans="1:12">
      <c r="A9" s="1">
        <v>0.84674768518518517</v>
      </c>
      <c r="B9">
        <v>50</v>
      </c>
      <c r="C9">
        <v>0.1</v>
      </c>
      <c r="H9" t="s">
        <v>5</v>
      </c>
      <c r="I9" t="s">
        <v>6</v>
      </c>
      <c r="K9" t="s">
        <v>7</v>
      </c>
      <c r="L9" t="s">
        <v>8</v>
      </c>
    </row>
    <row r="10" spans="1:12">
      <c r="A10" s="1">
        <v>0.84675925925925921</v>
      </c>
      <c r="B10">
        <v>0</v>
      </c>
      <c r="G10">
        <v>0.01</v>
      </c>
      <c r="H10" s="3">
        <f>G10/$I$6</f>
        <v>5.0056481103250938</v>
      </c>
      <c r="I10" s="4">
        <f t="shared" ref="I10:I16" si="0">H10/60</f>
        <v>8.3427468505418226E-2</v>
      </c>
      <c r="J10" s="3">
        <f t="shared" ref="J10:J16" si="1">H10/10</f>
        <v>0.50056481103250938</v>
      </c>
    </row>
    <row r="11" spans="1:12">
      <c r="A11" s="1">
        <v>0.85091435185185182</v>
      </c>
      <c r="B11">
        <v>0</v>
      </c>
      <c r="G11">
        <v>0.03</v>
      </c>
      <c r="H11" s="3">
        <f t="shared" ref="H11:H16" si="2">G11/$I$6</f>
        <v>15.016944330975281</v>
      </c>
      <c r="I11" s="4">
        <f t="shared" si="0"/>
        <v>0.25028240551625469</v>
      </c>
      <c r="J11" s="3">
        <f t="shared" si="1"/>
        <v>1.5016944330975281</v>
      </c>
      <c r="K11" s="3">
        <f>J11-J10</f>
        <v>1.0011296220650188</v>
      </c>
      <c r="L11" s="4">
        <f>I11-I10</f>
        <v>0.16685493701083648</v>
      </c>
    </row>
    <row r="12" spans="1:12">
      <c r="A12" s="1">
        <v>0.85092592592592597</v>
      </c>
      <c r="B12">
        <v>44</v>
      </c>
      <c r="G12">
        <v>0.1</v>
      </c>
      <c r="H12" s="3">
        <f t="shared" si="2"/>
        <v>50.056481103250945</v>
      </c>
      <c r="I12" s="4">
        <f t="shared" si="0"/>
        <v>0.83427468505418245</v>
      </c>
      <c r="J12" s="3">
        <f t="shared" si="1"/>
        <v>5.0056481103250947</v>
      </c>
      <c r="K12" s="3">
        <f>J12-J11</f>
        <v>3.5039536772275666</v>
      </c>
      <c r="L12" s="4">
        <f t="shared" ref="L12:L16" si="3">I12-I11</f>
        <v>0.58399227953792776</v>
      </c>
    </row>
    <row r="13" spans="1:12">
      <c r="A13" s="1">
        <v>0.8520833333333333</v>
      </c>
      <c r="B13">
        <v>44</v>
      </c>
      <c r="C13">
        <v>0.3</v>
      </c>
      <c r="G13">
        <v>0.3</v>
      </c>
      <c r="H13" s="3">
        <f t="shared" si="2"/>
        <v>150.16944330975281</v>
      </c>
      <c r="I13" s="4">
        <f t="shared" si="0"/>
        <v>2.5028240551625469</v>
      </c>
      <c r="J13" s="3">
        <f t="shared" si="1"/>
        <v>15.016944330975281</v>
      </c>
      <c r="K13" s="3">
        <f t="shared" ref="K13:K16" si="4">J13-J12</f>
        <v>10.011296220650188</v>
      </c>
      <c r="L13" s="4">
        <f t="shared" si="3"/>
        <v>1.6685493701083645</v>
      </c>
    </row>
    <row r="14" spans="1:12">
      <c r="A14" s="6">
        <v>0.85209490740740745</v>
      </c>
      <c r="B14">
        <v>0</v>
      </c>
      <c r="G14">
        <v>1</v>
      </c>
      <c r="H14" s="3">
        <f t="shared" si="2"/>
        <v>500.5648110325094</v>
      </c>
      <c r="I14" s="4">
        <f t="shared" si="0"/>
        <v>8.3427468505418236</v>
      </c>
      <c r="J14" s="3">
        <f t="shared" si="1"/>
        <v>50.056481103250938</v>
      </c>
      <c r="K14" s="3">
        <f t="shared" si="4"/>
        <v>35.039536772275653</v>
      </c>
      <c r="L14" s="4">
        <f t="shared" si="3"/>
        <v>5.8399227953792767</v>
      </c>
    </row>
    <row r="15" spans="1:12">
      <c r="A15" s="1">
        <v>0.85416666666666663</v>
      </c>
      <c r="B15">
        <v>0</v>
      </c>
      <c r="G15">
        <v>3</v>
      </c>
      <c r="H15" s="3">
        <f t="shared" si="2"/>
        <v>1501.6944330975282</v>
      </c>
      <c r="I15" s="4">
        <f t="shared" si="0"/>
        <v>25.028240551625469</v>
      </c>
      <c r="J15" s="3">
        <f t="shared" si="1"/>
        <v>150.16944330975281</v>
      </c>
      <c r="K15" s="3">
        <f t="shared" si="4"/>
        <v>100.11296220650186</v>
      </c>
      <c r="L15" s="4">
        <f t="shared" si="3"/>
        <v>16.685493701083644</v>
      </c>
    </row>
    <row r="16" spans="1:12">
      <c r="A16" s="1">
        <v>0.85417824074074078</v>
      </c>
      <c r="B16">
        <v>44</v>
      </c>
      <c r="G16">
        <v>10</v>
      </c>
      <c r="H16" s="3">
        <f t="shared" si="2"/>
        <v>5005.6481103250935</v>
      </c>
      <c r="I16" s="4">
        <f t="shared" si="0"/>
        <v>83.427468505418219</v>
      </c>
      <c r="J16" s="3">
        <f t="shared" si="1"/>
        <v>500.56481103250934</v>
      </c>
      <c r="K16" s="3">
        <f t="shared" si="4"/>
        <v>350.39536772275653</v>
      </c>
      <c r="L16" s="4">
        <f t="shared" si="3"/>
        <v>58.399227953792746</v>
      </c>
    </row>
    <row r="17" spans="1:3">
      <c r="A17" s="1">
        <v>0.85821759259259256</v>
      </c>
      <c r="B17">
        <v>44</v>
      </c>
      <c r="C17">
        <v>1</v>
      </c>
    </row>
    <row r="18" spans="1:3">
      <c r="A18" s="1">
        <v>0.85822916666666671</v>
      </c>
      <c r="B18">
        <v>0</v>
      </c>
    </row>
    <row r="19" spans="1:3">
      <c r="A19" s="6">
        <v>0.86030092592592589</v>
      </c>
      <c r="B19">
        <v>0</v>
      </c>
    </row>
    <row r="20" spans="1:3">
      <c r="A20" s="1">
        <v>0.86031250000000004</v>
      </c>
      <c r="B20">
        <v>44</v>
      </c>
    </row>
    <row r="21" spans="1:3">
      <c r="A21" s="1">
        <v>0.87187499999999996</v>
      </c>
      <c r="B21">
        <v>44</v>
      </c>
      <c r="C21">
        <v>3</v>
      </c>
    </row>
    <row r="22" spans="1:3">
      <c r="A22" s="1">
        <v>0.87188657407407411</v>
      </c>
      <c r="B22">
        <v>0</v>
      </c>
    </row>
    <row r="23" spans="1:3">
      <c r="A23" s="1">
        <v>0.87396990740740743</v>
      </c>
      <c r="B23">
        <v>0</v>
      </c>
    </row>
    <row r="24" spans="1:3">
      <c r="A24" s="1">
        <v>0.87398148148148147</v>
      </c>
      <c r="B24">
        <v>44</v>
      </c>
    </row>
    <row r="25" spans="1:3">
      <c r="A25" s="2">
        <v>0.88194444444444442</v>
      </c>
      <c r="B25">
        <v>44</v>
      </c>
    </row>
    <row r="26" spans="1:3">
      <c r="A26" s="1">
        <v>0.88195601851851857</v>
      </c>
      <c r="B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Beam_pulsed_042_10_RT_lecroy</vt:lpstr>
      <vt:lpstr>Beam_044_15_RT_lecroy</vt:lpstr>
      <vt:lpstr>Beam_042_05_RT_lecroy</vt:lpstr>
      <vt:lpstr>Beam_042_16_RT_lecroy</vt:lpstr>
      <vt:lpstr>Beam_pulsed_042_16_RT_lecroy</vt:lpstr>
      <vt:lpstr>Beam_042_16_RT_lecroy_spot2</vt:lpstr>
      <vt:lpstr>Beam_042_05_RT_lecroy_spot2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Botica Artalejo</dc:creator>
  <cp:lastModifiedBy>Elena Botica Artalejo</cp:lastModifiedBy>
  <dcterms:created xsi:type="dcterms:W3CDTF">2025-09-11T15:14:22Z</dcterms:created>
  <dcterms:modified xsi:type="dcterms:W3CDTF">2025-12-18T17:04:58Z</dcterms:modified>
</cp:coreProperties>
</file>